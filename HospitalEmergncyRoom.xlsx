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Data_Analyst\Hospital_Emergency_Dashboard\"/>
    </mc:Choice>
  </mc:AlternateContent>
  <xr:revisionPtr revIDLastSave="0" documentId="13_ncr:1_{2D7C682A-A7BB-4B32-9244-4E31CBAD3FB1}" xr6:coauthVersionLast="47" xr6:coauthVersionMax="47" xr10:uidLastSave="{00000000-0000-0000-0000-000000000000}"/>
  <bookViews>
    <workbookView xWindow="-108" yWindow="-108" windowWidth="23256" windowHeight="12456" activeTab="1" xr2:uid="{DDC0E473-74C7-4E05-B2B5-79F6DD2690A0}"/>
  </bookViews>
  <sheets>
    <sheet name="Pivot Report" sheetId="1" r:id="rId1"/>
    <sheet name="Dashboard" sheetId="2" r:id="rId2"/>
    <sheet name="Patient Average Satisfaction sc" sheetId="5" r:id="rId3"/>
    <sheet name="Patient Average Waittime" sheetId="4" r:id="rId4"/>
    <sheet name="DailyERNoofPatient" sheetId="3" r:id="rId5"/>
  </sheets>
  <definedNames>
    <definedName name="Slicer_Date__Month">#N/A</definedName>
    <definedName name="Slicer_Date__Year">#N/A</definedName>
  </definedNames>
  <calcPr calcId="191029"/>
  <pivotCaches>
    <pivotCache cacheId="0" r:id="rId6"/>
    <pivotCache cacheId="1" r:id="rId7"/>
    <pivotCache cacheId="2" r:id="rId8"/>
    <pivotCache cacheId="97" r:id="rId9"/>
    <pivotCache cacheId="100" r:id="rId10"/>
    <pivotCache cacheId="103" r:id="rId11"/>
    <pivotCache cacheId="106" r:id="rId12"/>
    <pivotCache cacheId="109" r:id="rId13"/>
    <pivotCache cacheId="112" r:id="rId14"/>
    <pivotCache cacheId="115" r:id="rId15"/>
    <pivotCache cacheId="118" r:id="rId16"/>
    <pivotCache cacheId="12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0a9e47b-a0dc-4508-a732-be44231c4edf" name="Hospital Emergency Room Data" connection="Query - Hospital Emergency Room Data"/>
          <x15:modelTable id="Calendar_a4dc6c04-5215-434e-b6d8-8bf7f8fea0da" name="Calendar" connection="Query - Calendar"/>
        </x15:modelTables>
        <x15:modelRelationships>
          <x15:modelRelationship fromTable="Hospital Emergency Room Data" fromColumn="Patient Admission 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4" i="1" l="1"/>
  <c r="S14" i="1"/>
  <c r="T14" i="1"/>
  <c r="R15" i="1"/>
  <c r="S15" i="1"/>
  <c r="T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15FCFC-7762-41E4-9631-CC16C498EC29}" name="Query - Calendar" description="Connection to the 'Calendar' query in the workbook." type="100" refreshedVersion="8" minRefreshableVersion="5">
    <extLst>
      <ext xmlns:x15="http://schemas.microsoft.com/office/spreadsheetml/2010/11/main" uri="{DE250136-89BD-433C-8126-D09CA5730AF9}">
        <x15:connection id="570f2282-706d-4bf0-8b69-abc1805c2b45"/>
      </ext>
    </extLst>
  </connection>
  <connection id="2" xr16:uid="{CB137451-5739-4BFA-9883-920B0410E37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e81f196-01de-49d0-b24a-197aa13eaef0"/>
      </ext>
    </extLst>
  </connection>
  <connection id="3" xr16:uid="{18B3E215-741A-4604-A90B-90155817066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<sst xmlns="http://schemas.openxmlformats.org/spreadsheetml/2006/main" count="966" uniqueCount="347">
  <si>
    <t>Distinct Count of Patient Id</t>
  </si>
  <si>
    <t>No of Patient</t>
  </si>
  <si>
    <t>Average of Patient Waittime</t>
  </si>
  <si>
    <t>Average of Patient Satisfaction Score</t>
  </si>
  <si>
    <t>Row Labels</t>
  </si>
  <si>
    <t>Grand Total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</si>
  <si>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</si>
  <si>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</si>
  <si>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</si>
  <si>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</si>
  <si>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</si>
  <si>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</si>
  <si>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</si>
  <si>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</si>
  <si>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</si>
  <si>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</si>
  <si>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</si>
  <si>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</si>
  <si>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</si>
  <si>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</si>
  <si>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</si>
  <si>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</si>
  <si>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</si>
  <si>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</si>
  <si>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</si>
  <si>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</si>
  <si>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</si>
  <si>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</si>
  <si>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</si>
  <si>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</si>
  <si>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</si>
  <si>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</si>
  <si>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</si>
  <si>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</si>
  <si>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</si>
  <si>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</si>
  <si>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</si>
  <si>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</si>
  <si>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</si>
  <si>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</si>
  <si>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</si>
  <si>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</si>
  <si>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</si>
  <si>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</si>
  <si>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</si>
  <si>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</si>
  <si>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</si>
  <si>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</si>
  <si>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</si>
  <si>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</si>
  <si>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</si>
  <si>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</si>
  <si>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</si>
  <si>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</si>
  <si>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</si>
  <si>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</si>
  <si>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</si>
  <si>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</si>
  <si>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</si>
  <si>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</si>
  <si>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</si>
  <si>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</si>
  <si>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</si>
  <si>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</si>
  <si>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</si>
  <si>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</si>
  <si>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</si>
  <si>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</si>
  <si>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</si>
  <si>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</si>
  <si>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</si>
  <si>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</si>
  <si>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</si>
  <si>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</si>
  <si>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</si>
  <si>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</si>
  <si>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</si>
  <si>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</si>
  <si>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</si>
  <si>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</si>
  <si>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</si>
  <si>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</si>
  <si>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</si>
  <si>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</si>
  <si>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</si>
  <si>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</si>
  <si>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</si>
  <si>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</si>
  <si>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</si>
  <si>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</si>
  <si>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</si>
  <si>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</si>
  <si>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</si>
  <si>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</si>
  <si>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</si>
  <si>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</si>
  <si>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</si>
  <si>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</si>
  <si>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</si>
  <si>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</si>
  <si>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</si>
  <si>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</si>
  <si>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</si>
  <si>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</si>
  <si>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</si>
  <si>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</si>
  <si>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</si>
  <si>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</si>
  <si>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</si>
  <si>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</si>
  <si>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</si>
  <si>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</si>
  <si>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</si>
  <si>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</si>
  <si>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</si>
  <si>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</si>
  <si>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</si>
  <si>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</si>
  <si>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</si>
  <si>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</si>
  <si>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</si>
  <si>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</si>
  <si>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</si>
  <si>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</si>
  <si>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</si>
  <si>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</si>
  <si>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</si>
  <si>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</si>
  <si>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</si>
  <si>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</si>
  <si>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</si>
  <si>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</si>
  <si>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</si>
  <si>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</si>
  <si>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</si>
  <si>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</si>
  <si>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</si>
  <si>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</si>
  <si>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</si>
  <si>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</si>
  <si>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</si>
  <si>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</si>
  <si>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</si>
  <si>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</si>
  <si>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</si>
  <si>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</si>
  <si>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</si>
  <si>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</si>
  <si>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</si>
  <si>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</si>
  <si>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</si>
  <si>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</si>
  <si>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</si>
  <si>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</si>
  <si>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</si>
  <si>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</si>
  <si>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</si>
  <si>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</si>
  <si>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</si>
  <si>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</si>
  <si>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</si>
  <si>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</si>
  <si>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</si>
  <si>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</si>
  <si>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</si>
  <si>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</si>
  <si>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</si>
  <si>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</si>
  <si>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</si>
  <si>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</si>
  <si>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</si>
  <si>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</si>
  <si>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</si>
  <si>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</si>
  <si>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</si>
  <si>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</si>
  <si>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</si>
  <si>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</si>
  <si>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</si>
  <si>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</si>
  <si>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</si>
  <si>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</si>
  <si>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</si>
  <si>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</si>
  <si>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</si>
  <si>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</si>
  <si>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</si>
  <si>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</si>
  <si>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</si>
  <si>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</si>
  <si>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</si>
  <si>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</si>
  <si>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</si>
  <si>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</si>
  <si>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</si>
  <si>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</si>
  <si>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</si>
  <si>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</si>
  <si>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</si>
  <si>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</si>
  <si>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</si>
  <si>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</si>
  <si>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</si>
  <si>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</si>
  <si>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</si>
  <si>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</si>
  <si>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</si>
  <si>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</si>
  <si>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</si>
  <si>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</si>
  <si>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</si>
  <si>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</si>
  <si>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</si>
  <si>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</si>
  <si>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</si>
  <si>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</si>
  <si>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</si>
  <si>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</si>
  <si>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</si>
  <si>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</si>
  <si>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</si>
  <si>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</si>
  <si>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</si>
  <si>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</si>
  <si>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</si>
  <si>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</si>
  <si>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</si>
  <si>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</si>
  <si>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</si>
  <si>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</si>
  <si>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</si>
  <si>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</si>
  <si>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</si>
  <si>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</si>
  <si>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</si>
  <si>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</si>
  <si>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</si>
  <si>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</si>
  <si>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</si>
  <si>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</si>
  <si>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</si>
  <si>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</si>
  <si>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</si>
  <si>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</si>
  <si>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</si>
  <si>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</si>
  <si>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</si>
  <si>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</si>
  <si>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</si>
  <si>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</si>
  <si>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</si>
  <si>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</si>
  <si>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</si>
  <si>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</si>
  <si>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</si>
  <si>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</si>
  <si>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</si>
  <si>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</si>
  <si>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</si>
  <si>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</si>
  <si>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</si>
  <si>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</si>
  <si>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</si>
  <si>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</si>
  <si>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</si>
  <si>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</si>
  <si>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</si>
  <si>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</si>
  <si>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</si>
  <si>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</si>
  <si>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</si>
  <si>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</si>
  <si>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</si>
  <si>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</si>
  <si>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</si>
  <si>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</si>
  <si>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</si>
  <si>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</si>
  <si>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</si>
  <si>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</si>
  <si>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</si>
  <si>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</si>
  <si>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</si>
  <si>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</si>
  <si>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</si>
  <si>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</si>
  <si>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</si>
  <si>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</si>
  <si>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</si>
  <si>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</si>
  <si>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</si>
  <si>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</si>
  <si>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</si>
  <si>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</si>
  <si>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</si>
  <si>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</si>
  <si>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</si>
  <si>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</si>
  <si>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</si>
  <si>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</si>
  <si>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</si>
  <si>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</si>
  <si>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</si>
  <si>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</si>
  <si>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</si>
  <si>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</si>
  <si>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</si>
  <si>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</si>
  <si>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</si>
  <si>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</si>
  <si>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 xml:space="preserve">No Of Patient </t>
  </si>
  <si>
    <t>Patient Waittime Average</t>
  </si>
  <si>
    <t>Patient Average Satisfaction Score</t>
  </si>
  <si>
    <t>Dalay</t>
  </si>
  <si>
    <t>On Time</t>
  </si>
  <si>
    <t>Admitted</t>
  </si>
  <si>
    <t>Not Admitted</t>
  </si>
  <si>
    <t>Count of Patient Admission Flag</t>
  </si>
  <si>
    <t>Admission Status</t>
  </si>
  <si>
    <t xml:space="preserve"> Patient </t>
  </si>
  <si>
    <t>Male</t>
  </si>
  <si>
    <t>None</t>
  </si>
  <si>
    <t>60-69</t>
  </si>
  <si>
    <t>70-79</t>
  </si>
  <si>
    <t>10-19</t>
  </si>
  <si>
    <t>40-49</t>
  </si>
  <si>
    <t>50-59</t>
  </si>
  <si>
    <t>20-29</t>
  </si>
  <si>
    <t>0-09</t>
  </si>
  <si>
    <t>30-39</t>
  </si>
  <si>
    <t>Female</t>
  </si>
  <si>
    <t xml:space="preserve">No of Patient </t>
  </si>
  <si>
    <t>% Status</t>
  </si>
  <si>
    <t>Age Group</t>
  </si>
  <si>
    <t>Count of Age Group</t>
  </si>
  <si>
    <t>Count of Patient Attend Status</t>
  </si>
  <si>
    <t>Count of Patient Attend Status2</t>
  </si>
  <si>
    <t>Count of Patient Gender</t>
  </si>
  <si>
    <t>Cardiology</t>
  </si>
  <si>
    <t>Gastroenterology</t>
  </si>
  <si>
    <t>General Practice</t>
  </si>
  <si>
    <t>Neurology</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</si>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</sst>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3"/>
        <bgColor indexed="64"/>
      </patternFill>
    </fill>
    <fill>
      <patternFill patternType="solid">
        <fgColor theme="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0" fontId="2" fillId="3" borderId="0" xfId="0" applyFont="1" applyFill="1" applyAlignment="1">
      <alignment horizontal="center" vertical="center"/>
    </xf>
    <xf numFmtId="0" fontId="0" fillId="0" borderId="0" xfId="0" applyAlignment="1">
      <alignment horizontal="center" vertical="center"/>
    </xf>
    <xf numFmtId="9" fontId="0" fillId="0" borderId="0" xfId="1" applyFont="1" applyAlignment="1">
      <alignment horizontal="center" vertical="center"/>
    </xf>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1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0"/>
      </font>
      <border diagonalUp="0" diagonalDown="0">
        <left/>
        <right/>
        <top/>
        <bottom/>
        <vertical/>
        <horizontal/>
      </border>
    </dxf>
  </dxfs>
  <tableStyles count="1" defaultTableStyle="TableStyleMedium2" defaultPivotStyle="PivotStyleLight16">
    <tableStyle name="Slicer Style 1" pivot="0" table="0" count="4" xr9:uid="{20B43E30-168D-4822-95B5-97ED3010B0ED}">
      <tableStyleElement type="wholeTable" dxfId="12"/>
    </tableStyle>
  </tableStyles>
  <colors>
    <mruColors>
      <color rgb="FFFFFFFF"/>
    </mruColors>
  </colors>
  <extLst>
    <ext xmlns:x14="http://schemas.microsoft.com/office/spreadsheetml/2009/9/main" uri="{46F421CA-312F-682f-3DD2-61675219B42D}">
      <x14:dxfs count="3">
        <dxf>
          <fill>
            <patternFill>
              <bgColor rgb="FFFF0000"/>
            </patternFill>
          </fill>
        </dxf>
        <dxf>
          <fill>
            <patternFill>
              <bgColor rgb="FFFFC000"/>
            </patternFill>
          </fill>
        </dxf>
        <dxf>
          <fill>
            <patternFill>
              <bgColor rgb="FF00B05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47"/>
  </c:pivotSource>
  <c:chart>
    <c:autoTitleDeleted val="0"/>
    <c:pivotFmts>
      <c:pivotFmt>
        <c:idx val="0"/>
        <c:spPr>
          <a:solidFill>
            <a:schemeClr val="accent1"/>
          </a:solidFill>
          <a:ln w="317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a:solidFill>
              <a:schemeClr val="accen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AD5728-7D15-4ED8-AA10-25C00BB65D96}"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w="31750">
            <a:solidFill>
              <a:schemeClr val="accen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4326F6-BE39-4F04-8CB0-A293DEAA6F89}"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3.7200762991625336E-2"/>
          <c:y val="0.18359233251494431"/>
          <c:w val="0.70715307929587956"/>
          <c:h val="0.65359309366984641"/>
        </c:manualLayout>
      </c:layout>
      <c:barChart>
        <c:barDir val="bar"/>
        <c:grouping val="clustered"/>
        <c:varyColors val="0"/>
        <c:ser>
          <c:idx val="0"/>
          <c:order val="0"/>
          <c:tx>
            <c:strRef>
              <c:f>'Pivot Report'!$U$6:$U$7</c:f>
              <c:strCache>
                <c:ptCount val="1"/>
                <c:pt idx="0">
                  <c:v> Patient </c:v>
                </c:pt>
              </c:strCache>
            </c:strRef>
          </c:tx>
          <c:spPr>
            <a:solidFill>
              <a:schemeClr val="accent1"/>
            </a:solidFill>
            <a:ln w="31750">
              <a:solidFill>
                <a:schemeClr val="accent1"/>
              </a:solidFill>
            </a:ln>
            <a:effectLst/>
          </c:spPr>
          <c:invertIfNegative val="0"/>
          <c:dPt>
            <c:idx val="0"/>
            <c:invertIfNegative val="0"/>
            <c:bubble3D val="0"/>
            <c:extLst>
              <c:ext xmlns:c16="http://schemas.microsoft.com/office/drawing/2014/chart" uri="{C3380CC4-5D6E-409C-BE32-E72D297353CC}">
                <c16:uniqueId val="{00000003-EABA-4408-882A-5EB4480DE8DA}"/>
              </c:ext>
            </c:extLst>
          </c:dPt>
          <c:dPt>
            <c:idx val="1"/>
            <c:invertIfNegative val="0"/>
            <c:bubble3D val="0"/>
            <c:extLst>
              <c:ext xmlns:c16="http://schemas.microsoft.com/office/drawing/2014/chart" uri="{C3380CC4-5D6E-409C-BE32-E72D297353CC}">
                <c16:uniqueId val="{00000004-EABA-4408-882A-5EB4480DE8DA}"/>
              </c:ext>
            </c:extLst>
          </c:dPt>
          <c:dLbls>
            <c:dLbl>
              <c:idx val="0"/>
              <c:tx>
                <c:rich>
                  <a:bodyPr/>
                  <a:lstStyle/>
                  <a:p>
                    <a:fld id="{24AD5728-7D15-4ED8-AA10-25C00BB65D9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ABA-4408-882A-5EB4480DE8DA}"/>
                </c:ext>
              </c:extLst>
            </c:dLbl>
            <c:dLbl>
              <c:idx val="1"/>
              <c:tx>
                <c:rich>
                  <a:bodyPr/>
                  <a:lstStyle/>
                  <a:p>
                    <a:fld id="{2D4326F6-BE39-4F04-8CB0-A293DEAA6F8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ABA-4408-882A-5EB4480DE8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Report'!$U$6:$U$7</c:f>
              <c:strCache>
                <c:ptCount val="2"/>
                <c:pt idx="0">
                  <c:v>Admitted</c:v>
                </c:pt>
                <c:pt idx="1">
                  <c:v>Not Admitted</c:v>
                </c:pt>
              </c:strCache>
            </c:strRef>
          </c:cat>
          <c:val>
            <c:numRef>
              <c:f>'Pivot Report'!$U$6:$U$7</c:f>
              <c:numCache>
                <c:formatCode>General</c:formatCode>
                <c:ptCount val="2"/>
                <c:pt idx="0">
                  <c:v>235</c:v>
                </c:pt>
                <c:pt idx="1">
                  <c:v>250</c:v>
                </c:pt>
              </c:numCache>
            </c:numRef>
          </c:val>
          <c:extLst>
            <c:ext xmlns:c15="http://schemas.microsoft.com/office/drawing/2012/chart" uri="{02D57815-91ED-43cb-92C2-25804820EDAC}">
              <c15:datalabelsRange>
                <c15:f>'Pivot Report'!$U$6:$U$7</c15:f>
                <c15:dlblRangeCache>
                  <c:ptCount val="2"/>
                  <c:pt idx="0">
                    <c:v>48.45%</c:v>
                  </c:pt>
                  <c:pt idx="1">
                    <c:v>51.55%</c:v>
                  </c:pt>
                </c15:dlblRangeCache>
              </c15:datalabelsRange>
            </c:ext>
            <c:ext xmlns:c16="http://schemas.microsoft.com/office/drawing/2014/chart" uri="{C3380CC4-5D6E-409C-BE32-E72D297353CC}">
              <c16:uniqueId val="{00000000-EABA-4408-882A-5EB4480DE8DA}"/>
            </c:ext>
          </c:extLst>
        </c:ser>
        <c:ser>
          <c:idx val="1"/>
          <c:order val="1"/>
          <c:tx>
            <c:strRef>
              <c:f>'Pivot Report'!$U$6:$U$7</c:f>
              <c:strCache>
                <c:ptCount val="1"/>
                <c:pt idx="0">
                  <c:v>Count of Patient Admission Flag</c:v>
                </c:pt>
              </c:strCache>
            </c:strRef>
          </c:tx>
          <c:spPr>
            <a:solidFill>
              <a:schemeClr val="accent2"/>
            </a:solidFill>
            <a:ln>
              <a:noFill/>
            </a:ln>
            <a:effectLst/>
          </c:spPr>
          <c:invertIfNegative val="0"/>
          <c:cat>
            <c:strRef>
              <c:f>'Pivot Report'!$U$6:$U$7</c:f>
              <c:strCache>
                <c:ptCount val="2"/>
                <c:pt idx="0">
                  <c:v>Admitted</c:v>
                </c:pt>
                <c:pt idx="1">
                  <c:v>Not Admitted</c:v>
                </c:pt>
              </c:strCache>
            </c:strRef>
          </c:cat>
          <c:val>
            <c:numRef>
              <c:f>'Pivot Report'!$U$6:$U$7</c:f>
              <c:numCache>
                <c:formatCode>0.00%</c:formatCode>
                <c:ptCount val="2"/>
                <c:pt idx="0">
                  <c:v>0.4845360824742268</c:v>
                </c:pt>
                <c:pt idx="1">
                  <c:v>0.51546391752577314</c:v>
                </c:pt>
              </c:numCache>
            </c:numRef>
          </c:val>
          <c:extLst>
            <c:ext xmlns:c16="http://schemas.microsoft.com/office/drawing/2014/chart" uri="{C3380CC4-5D6E-409C-BE32-E72D297353CC}">
              <c16:uniqueId val="{00000001-EABA-4408-882A-5EB4480DE8DA}"/>
            </c:ext>
          </c:extLst>
        </c:ser>
        <c:dLbls>
          <c:showLegendKey val="0"/>
          <c:showVal val="0"/>
          <c:showCatName val="0"/>
          <c:showSerName val="0"/>
          <c:showPercent val="0"/>
          <c:showBubbleSize val="0"/>
        </c:dLbls>
        <c:gapWidth val="182"/>
        <c:axId val="1804948576"/>
        <c:axId val="1804940416"/>
      </c:barChart>
      <c:catAx>
        <c:axId val="1804948576"/>
        <c:scaling>
          <c:orientation val="minMax"/>
        </c:scaling>
        <c:delete val="1"/>
        <c:axPos val="l"/>
        <c:numFmt formatCode="General" sourceLinked="1"/>
        <c:majorTickMark val="none"/>
        <c:minorTickMark val="none"/>
        <c:tickLblPos val="nextTo"/>
        <c:crossAx val="1804940416"/>
        <c:crosses val="autoZero"/>
        <c:auto val="1"/>
        <c:lblAlgn val="ctr"/>
        <c:lblOffset val="100"/>
        <c:noMultiLvlLbl val="0"/>
      </c:catAx>
      <c:valAx>
        <c:axId val="1804940416"/>
        <c:scaling>
          <c:orientation val="minMax"/>
        </c:scaling>
        <c:delete val="1"/>
        <c:axPos val="b"/>
        <c:numFmt formatCode="General" sourceLinked="1"/>
        <c:majorTickMark val="none"/>
        <c:minorTickMark val="none"/>
        <c:tickLblPos val="nextTo"/>
        <c:crossAx val="180494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88"/>
  </c:pivotSource>
  <c:chart>
    <c:autoTitleDeleted val="1"/>
    <c:pivotFmts>
      <c:pivotFmt>
        <c:idx val="0"/>
        <c:spPr>
          <a:solidFill>
            <a:schemeClr val="accent1"/>
          </a:solidFill>
          <a:ln w="0" cap="rnd" cmpd="tri">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Report'!$X$5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Report'!$W$6:$W$14</c:f>
              <c:strCache>
                <c:ptCount val="8"/>
                <c:pt idx="0">
                  <c:v>0-09</c:v>
                </c:pt>
                <c:pt idx="1">
                  <c:v>10-19</c:v>
                </c:pt>
                <c:pt idx="2">
                  <c:v>20-29</c:v>
                </c:pt>
                <c:pt idx="3">
                  <c:v>30-39</c:v>
                </c:pt>
                <c:pt idx="4">
                  <c:v>40-49</c:v>
                </c:pt>
                <c:pt idx="5">
                  <c:v>50-59</c:v>
                </c:pt>
                <c:pt idx="6">
                  <c:v>60-69</c:v>
                </c:pt>
                <c:pt idx="7">
                  <c:v>70-79</c:v>
                </c:pt>
              </c:strCache>
            </c:strRef>
          </c:cat>
          <c:val>
            <c:numRef>
              <c:f>'Pivot Report'!$X$6:$X$14</c:f>
              <c:numCache>
                <c:formatCode>General</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3-01F6-4122-BEE9-841154F4FB63}"/>
            </c:ext>
          </c:extLst>
        </c:ser>
        <c:dLbls>
          <c:showLegendKey val="0"/>
          <c:showVal val="0"/>
          <c:showCatName val="0"/>
          <c:showSerName val="0"/>
          <c:showPercent val="0"/>
          <c:showBubbleSize val="0"/>
        </c:dLbls>
        <c:gapWidth val="219"/>
        <c:overlap val="-27"/>
        <c:axId val="481012928"/>
        <c:axId val="481023488"/>
      </c:barChart>
      <c:catAx>
        <c:axId val="48101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23488"/>
        <c:crosses val="autoZero"/>
        <c:auto val="1"/>
        <c:lblAlgn val="ctr"/>
        <c:lblOffset val="100"/>
        <c:noMultiLvlLbl val="0"/>
      </c:catAx>
      <c:valAx>
        <c:axId val="481023488"/>
        <c:scaling>
          <c:orientation val="minMax"/>
        </c:scaling>
        <c:delete val="1"/>
        <c:axPos val="l"/>
        <c:numFmt formatCode="General" sourceLinked="1"/>
        <c:majorTickMark val="none"/>
        <c:minorTickMark val="none"/>
        <c:tickLblPos val="nextTo"/>
        <c:crossAx val="48101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9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Report'!$AB$4</c:f>
              <c:strCache>
                <c:ptCount val="1"/>
                <c:pt idx="0">
                  <c:v>Count of Patient Attend Status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093-4374-887F-533D81EACA3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093-4374-887F-533D81EACA3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Report'!$AA$5:$AA$7</c:f>
              <c:strCache>
                <c:ptCount val="2"/>
                <c:pt idx="0">
                  <c:v>Dalay</c:v>
                </c:pt>
                <c:pt idx="1">
                  <c:v>On Time</c:v>
                </c:pt>
              </c:strCache>
            </c:strRef>
          </c:cat>
          <c:val>
            <c:numRef>
              <c:f>'Pivot Report'!$AB$5:$AB$7</c:f>
              <c:numCache>
                <c:formatCode>General</c:formatCode>
                <c:ptCount val="2"/>
                <c:pt idx="0">
                  <c:v>297</c:v>
                </c:pt>
                <c:pt idx="1">
                  <c:v>188</c:v>
                </c:pt>
              </c:numCache>
            </c:numRef>
          </c:val>
          <c:extLst>
            <c:ext xmlns:c16="http://schemas.microsoft.com/office/drawing/2014/chart" uri="{C3380CC4-5D6E-409C-BE32-E72D297353CC}">
              <c16:uniqueId val="{00000000-81F8-4EB9-95EA-FD839283E47F}"/>
            </c:ext>
          </c:extLst>
        </c:ser>
        <c:ser>
          <c:idx val="1"/>
          <c:order val="1"/>
          <c:tx>
            <c:strRef>
              <c:f>'Pivot Report'!$AC$4</c:f>
              <c:strCache>
                <c:ptCount val="1"/>
                <c:pt idx="0">
                  <c:v>Count of Patient Attend Status2</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093-4374-887F-533D81EACA3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093-4374-887F-533D81EACA3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Report'!$AA$5:$AA$7</c:f>
              <c:strCache>
                <c:ptCount val="2"/>
                <c:pt idx="0">
                  <c:v>Dalay</c:v>
                </c:pt>
                <c:pt idx="1">
                  <c:v>On Time</c:v>
                </c:pt>
              </c:strCache>
            </c:strRef>
          </c:cat>
          <c:val>
            <c:numRef>
              <c:f>'Pivot Report'!$AC$5:$AC$7</c:f>
              <c:numCache>
                <c:formatCode>0.00%</c:formatCode>
                <c:ptCount val="2"/>
                <c:pt idx="0">
                  <c:v>0.6123711340206186</c:v>
                </c:pt>
                <c:pt idx="1">
                  <c:v>0.38762886597938145</c:v>
                </c:pt>
              </c:numCache>
            </c:numRef>
          </c:val>
          <c:extLst>
            <c:ext xmlns:c16="http://schemas.microsoft.com/office/drawing/2014/chart" uri="{C3380CC4-5D6E-409C-BE32-E72D297353CC}">
              <c16:uniqueId val="{00000001-81F8-4EB9-95EA-FD839283E47F}"/>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10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Report'!$AF$4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99-4851-8FB0-90E2A7ED7C3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99-4851-8FB0-90E2A7ED7C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Report'!$AE$5:$AE$7</c:f>
              <c:strCache>
                <c:ptCount val="2"/>
                <c:pt idx="0">
                  <c:v>Female</c:v>
                </c:pt>
                <c:pt idx="1">
                  <c:v>Male</c:v>
                </c:pt>
              </c:strCache>
            </c:strRef>
          </c:cat>
          <c:val>
            <c:numRef>
              <c:f>'Pivot Report'!$AF$5:$AF$7</c:f>
              <c:numCache>
                <c:formatCode>General</c:formatCode>
                <c:ptCount val="2"/>
                <c:pt idx="0">
                  <c:v>239</c:v>
                </c:pt>
                <c:pt idx="1">
                  <c:v>246</c:v>
                </c:pt>
              </c:numCache>
            </c:numRef>
          </c:val>
          <c:extLst>
            <c:ext xmlns:c16="http://schemas.microsoft.com/office/drawing/2014/chart" uri="{C3380CC4-5D6E-409C-BE32-E72D297353CC}">
              <c16:uniqueId val="{00000000-9139-4CB6-8792-351E10B17855}"/>
            </c:ext>
          </c:extLst>
        </c:ser>
        <c:dLbls>
          <c:showLegendKey val="0"/>
          <c:showVal val="0"/>
          <c:showCatName val="0"/>
          <c:showSerName val="0"/>
          <c:showPercent val="1"/>
          <c:showBubbleSize val="0"/>
          <c:showLeaderLines val="1"/>
        </c:dLbls>
        <c:firstSliceAng val="0"/>
        <c:holeSize val="42"/>
      </c:doughnut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10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Report'!$AK$4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Report'!$AJ$5:$AJ$13</c:f>
              <c:strCache>
                <c:ptCount val="8"/>
                <c:pt idx="0">
                  <c:v>None</c:v>
                </c:pt>
                <c:pt idx="1">
                  <c:v>General Practice</c:v>
                </c:pt>
                <c:pt idx="2">
                  <c:v>Orthopedics</c:v>
                </c:pt>
                <c:pt idx="3">
                  <c:v>Cardiology</c:v>
                </c:pt>
                <c:pt idx="4">
                  <c:v>Gastroenterology</c:v>
                </c:pt>
                <c:pt idx="5">
                  <c:v>Neurology</c:v>
                </c:pt>
                <c:pt idx="6">
                  <c:v>Physiotherapy</c:v>
                </c:pt>
                <c:pt idx="7">
                  <c:v>Renal</c:v>
                </c:pt>
              </c:strCache>
            </c:strRef>
          </c:cat>
          <c:val>
            <c:numRef>
              <c:f>'Pivot Report'!$AK$5:$AK$13</c:f>
              <c:numCache>
                <c:formatCode>General</c:formatCode>
                <c:ptCount val="8"/>
                <c:pt idx="0">
                  <c:v>291</c:v>
                </c:pt>
                <c:pt idx="1">
                  <c:v>91</c:v>
                </c:pt>
                <c:pt idx="2">
                  <c:v>53</c:v>
                </c:pt>
                <c:pt idx="3">
                  <c:v>13</c:v>
                </c:pt>
                <c:pt idx="4">
                  <c:v>12</c:v>
                </c:pt>
                <c:pt idx="5">
                  <c:v>12</c:v>
                </c:pt>
                <c:pt idx="6">
                  <c:v>11</c:v>
                </c:pt>
                <c:pt idx="7">
                  <c:v>2</c:v>
                </c:pt>
              </c:numCache>
            </c:numRef>
          </c:val>
          <c:extLst>
            <c:ext xmlns:c16="http://schemas.microsoft.com/office/drawing/2014/chart" uri="{C3380CC4-5D6E-409C-BE32-E72D297353CC}">
              <c16:uniqueId val="{00000000-C8CA-4612-BD92-6798784BAEA6}"/>
            </c:ext>
          </c:extLst>
        </c:ser>
        <c:dLbls>
          <c:showLegendKey val="0"/>
          <c:showVal val="0"/>
          <c:showCatName val="0"/>
          <c:showSerName val="0"/>
          <c:showPercent val="0"/>
          <c:showBubbleSize val="0"/>
        </c:dLbls>
        <c:gapWidth val="110"/>
        <c:axId val="481014848"/>
        <c:axId val="481023008"/>
      </c:barChart>
      <c:catAx>
        <c:axId val="48101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23008"/>
        <c:crosses val="autoZero"/>
        <c:auto val="1"/>
        <c:lblAlgn val="ctr"/>
        <c:lblOffset val="100"/>
        <c:noMultiLvlLbl val="0"/>
      </c:catAx>
      <c:valAx>
        <c:axId val="481023008"/>
        <c:scaling>
          <c:orientation val="minMax"/>
        </c:scaling>
        <c:delete val="1"/>
        <c:axPos val="b"/>
        <c:numFmt formatCode="General" sourceLinked="1"/>
        <c:majorTickMark val="none"/>
        <c:minorTickMark val="none"/>
        <c:tickLblPos val="nextTo"/>
        <c:crossAx val="4810148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outerShdw blurRad="76200" dist="12700" dir="2700000" sy="-23000" kx="-8004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845702797788559E-3"/>
          <c:y val="1.6327584767850064E-2"/>
          <c:w val="0.97809415312447645"/>
          <c:h val="0.98367241523214999"/>
        </c:manualLayout>
      </c:layout>
      <c:areaChart>
        <c:grouping val="standard"/>
        <c:varyColors val="0"/>
        <c:ser>
          <c:idx val="0"/>
          <c:order val="0"/>
          <c:tx>
            <c:strRef>
              <c:f>'Pivot Report'!$D$7</c:f>
              <c:strCache>
                <c:ptCount val="1"/>
                <c:pt idx="0">
                  <c:v>Total</c:v>
                </c:pt>
              </c:strCache>
            </c:strRef>
          </c:tx>
          <c:spPr>
            <a:solidFill>
              <a:schemeClr val="accent1"/>
            </a:solidFill>
            <a:ln w="25400">
              <a:noFill/>
            </a:ln>
            <a:effectLst>
              <a:outerShdw blurRad="76200" dist="12700" dir="2700000" sy="-23000" kx="-800400" algn="bl" rotWithShape="0">
                <a:prstClr val="black">
                  <a:alpha val="20000"/>
                </a:prstClr>
              </a:outerShdw>
            </a:effectLst>
          </c:spPr>
          <c:cat>
            <c:strRef>
              <c:f>'Pivot Report'!$C$8:$C$312</c:f>
              <c:strCache>
                <c:ptCount val="304"/>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Report'!$D$8:$D$312</c:f>
              <c:numCache>
                <c:formatCode>General</c:formatCode>
                <c:ptCount val="304"/>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12</c:v>
                </c:pt>
                <c:pt idx="92">
                  <c:v>19</c:v>
                </c:pt>
                <c:pt idx="93">
                  <c:v>17</c:v>
                </c:pt>
                <c:pt idx="94">
                  <c:v>20</c:v>
                </c:pt>
                <c:pt idx="95">
                  <c:v>15</c:v>
                </c:pt>
                <c:pt idx="96">
                  <c:v>17</c:v>
                </c:pt>
                <c:pt idx="97">
                  <c:v>16</c:v>
                </c:pt>
                <c:pt idx="98">
                  <c:v>10</c:v>
                </c:pt>
                <c:pt idx="99">
                  <c:v>15</c:v>
                </c:pt>
                <c:pt idx="100">
                  <c:v>14</c:v>
                </c:pt>
                <c:pt idx="101">
                  <c:v>16</c:v>
                </c:pt>
                <c:pt idx="102">
                  <c:v>12</c:v>
                </c:pt>
                <c:pt idx="103">
                  <c:v>12</c:v>
                </c:pt>
                <c:pt idx="104">
                  <c:v>13</c:v>
                </c:pt>
                <c:pt idx="105">
                  <c:v>20</c:v>
                </c:pt>
                <c:pt idx="106">
                  <c:v>17</c:v>
                </c:pt>
                <c:pt idx="107">
                  <c:v>10</c:v>
                </c:pt>
                <c:pt idx="108">
                  <c:v>16</c:v>
                </c:pt>
                <c:pt idx="109">
                  <c:v>13</c:v>
                </c:pt>
                <c:pt idx="110">
                  <c:v>16</c:v>
                </c:pt>
                <c:pt idx="111">
                  <c:v>18</c:v>
                </c:pt>
                <c:pt idx="112">
                  <c:v>21</c:v>
                </c:pt>
                <c:pt idx="113">
                  <c:v>15</c:v>
                </c:pt>
                <c:pt idx="114">
                  <c:v>18</c:v>
                </c:pt>
                <c:pt idx="115">
                  <c:v>15</c:v>
                </c:pt>
                <c:pt idx="116">
                  <c:v>18</c:v>
                </c:pt>
                <c:pt idx="117">
                  <c:v>19</c:v>
                </c:pt>
                <c:pt idx="118">
                  <c:v>16</c:v>
                </c:pt>
                <c:pt idx="119">
                  <c:v>13</c:v>
                </c:pt>
                <c:pt idx="120">
                  <c:v>16</c:v>
                </c:pt>
                <c:pt idx="121">
                  <c:v>14</c:v>
                </c:pt>
                <c:pt idx="122">
                  <c:v>21</c:v>
                </c:pt>
                <c:pt idx="123">
                  <c:v>21</c:v>
                </c:pt>
                <c:pt idx="124">
                  <c:v>15</c:v>
                </c:pt>
                <c:pt idx="125">
                  <c:v>11</c:v>
                </c:pt>
                <c:pt idx="126">
                  <c:v>17</c:v>
                </c:pt>
                <c:pt idx="127">
                  <c:v>15</c:v>
                </c:pt>
                <c:pt idx="128">
                  <c:v>17</c:v>
                </c:pt>
                <c:pt idx="129">
                  <c:v>13</c:v>
                </c:pt>
                <c:pt idx="130">
                  <c:v>24</c:v>
                </c:pt>
                <c:pt idx="131">
                  <c:v>13</c:v>
                </c:pt>
                <c:pt idx="132">
                  <c:v>14</c:v>
                </c:pt>
                <c:pt idx="133">
                  <c:v>12</c:v>
                </c:pt>
                <c:pt idx="134">
                  <c:v>11</c:v>
                </c:pt>
                <c:pt idx="135">
                  <c:v>16</c:v>
                </c:pt>
                <c:pt idx="136">
                  <c:v>20</c:v>
                </c:pt>
                <c:pt idx="137">
                  <c:v>15</c:v>
                </c:pt>
                <c:pt idx="138">
                  <c:v>19</c:v>
                </c:pt>
                <c:pt idx="139">
                  <c:v>16</c:v>
                </c:pt>
                <c:pt idx="140">
                  <c:v>17</c:v>
                </c:pt>
                <c:pt idx="141">
                  <c:v>28</c:v>
                </c:pt>
                <c:pt idx="142">
                  <c:v>22</c:v>
                </c:pt>
                <c:pt idx="143">
                  <c:v>20</c:v>
                </c:pt>
                <c:pt idx="144">
                  <c:v>17</c:v>
                </c:pt>
                <c:pt idx="145">
                  <c:v>18</c:v>
                </c:pt>
                <c:pt idx="146">
                  <c:v>13</c:v>
                </c:pt>
                <c:pt idx="147">
                  <c:v>13</c:v>
                </c:pt>
                <c:pt idx="148">
                  <c:v>13</c:v>
                </c:pt>
                <c:pt idx="149">
                  <c:v>20</c:v>
                </c:pt>
                <c:pt idx="150">
                  <c:v>15</c:v>
                </c:pt>
                <c:pt idx="151">
                  <c:v>19</c:v>
                </c:pt>
                <c:pt idx="152">
                  <c:v>17</c:v>
                </c:pt>
                <c:pt idx="153">
                  <c:v>10</c:v>
                </c:pt>
                <c:pt idx="154">
                  <c:v>23</c:v>
                </c:pt>
                <c:pt idx="155">
                  <c:v>15</c:v>
                </c:pt>
                <c:pt idx="156">
                  <c:v>14</c:v>
                </c:pt>
                <c:pt idx="157">
                  <c:v>11</c:v>
                </c:pt>
                <c:pt idx="158">
                  <c:v>15</c:v>
                </c:pt>
                <c:pt idx="159">
                  <c:v>20</c:v>
                </c:pt>
                <c:pt idx="160">
                  <c:v>21</c:v>
                </c:pt>
                <c:pt idx="161">
                  <c:v>17</c:v>
                </c:pt>
                <c:pt idx="162">
                  <c:v>17</c:v>
                </c:pt>
                <c:pt idx="163">
                  <c:v>17</c:v>
                </c:pt>
                <c:pt idx="164">
                  <c:v>17</c:v>
                </c:pt>
                <c:pt idx="165">
                  <c:v>11</c:v>
                </c:pt>
                <c:pt idx="166">
                  <c:v>23</c:v>
                </c:pt>
                <c:pt idx="167">
                  <c:v>14</c:v>
                </c:pt>
                <c:pt idx="168">
                  <c:v>22</c:v>
                </c:pt>
                <c:pt idx="169">
                  <c:v>16</c:v>
                </c:pt>
                <c:pt idx="170">
                  <c:v>13</c:v>
                </c:pt>
                <c:pt idx="171">
                  <c:v>14</c:v>
                </c:pt>
                <c:pt idx="172">
                  <c:v>12</c:v>
                </c:pt>
                <c:pt idx="173">
                  <c:v>12</c:v>
                </c:pt>
                <c:pt idx="174">
                  <c:v>20</c:v>
                </c:pt>
                <c:pt idx="175">
                  <c:v>19</c:v>
                </c:pt>
                <c:pt idx="176">
                  <c:v>13</c:v>
                </c:pt>
                <c:pt idx="177">
                  <c:v>15</c:v>
                </c:pt>
                <c:pt idx="178">
                  <c:v>19</c:v>
                </c:pt>
                <c:pt idx="179">
                  <c:v>17</c:v>
                </c:pt>
                <c:pt idx="180">
                  <c:v>15</c:v>
                </c:pt>
                <c:pt idx="181">
                  <c:v>16</c:v>
                </c:pt>
                <c:pt idx="182">
                  <c:v>17</c:v>
                </c:pt>
                <c:pt idx="183">
                  <c:v>19</c:v>
                </c:pt>
                <c:pt idx="184">
                  <c:v>12</c:v>
                </c:pt>
                <c:pt idx="185">
                  <c:v>9</c:v>
                </c:pt>
                <c:pt idx="186">
                  <c:v>15</c:v>
                </c:pt>
                <c:pt idx="187">
                  <c:v>10</c:v>
                </c:pt>
                <c:pt idx="188">
                  <c:v>18</c:v>
                </c:pt>
                <c:pt idx="189">
                  <c:v>19</c:v>
                </c:pt>
                <c:pt idx="190">
                  <c:v>19</c:v>
                </c:pt>
                <c:pt idx="191">
                  <c:v>13</c:v>
                </c:pt>
                <c:pt idx="192">
                  <c:v>15</c:v>
                </c:pt>
                <c:pt idx="193">
                  <c:v>25</c:v>
                </c:pt>
                <c:pt idx="194">
                  <c:v>19</c:v>
                </c:pt>
                <c:pt idx="195">
                  <c:v>15</c:v>
                </c:pt>
                <c:pt idx="196">
                  <c:v>14</c:v>
                </c:pt>
                <c:pt idx="197">
                  <c:v>20</c:v>
                </c:pt>
                <c:pt idx="198">
                  <c:v>14</c:v>
                </c:pt>
                <c:pt idx="199">
                  <c:v>14</c:v>
                </c:pt>
                <c:pt idx="200">
                  <c:v>17</c:v>
                </c:pt>
                <c:pt idx="201">
                  <c:v>16</c:v>
                </c:pt>
                <c:pt idx="202">
                  <c:v>18</c:v>
                </c:pt>
                <c:pt idx="203">
                  <c:v>8</c:v>
                </c:pt>
                <c:pt idx="204">
                  <c:v>17</c:v>
                </c:pt>
                <c:pt idx="205">
                  <c:v>11</c:v>
                </c:pt>
                <c:pt idx="206">
                  <c:v>15</c:v>
                </c:pt>
                <c:pt idx="207">
                  <c:v>13</c:v>
                </c:pt>
                <c:pt idx="208">
                  <c:v>17</c:v>
                </c:pt>
                <c:pt idx="209">
                  <c:v>20</c:v>
                </c:pt>
                <c:pt idx="210">
                  <c:v>20</c:v>
                </c:pt>
                <c:pt idx="211">
                  <c:v>13</c:v>
                </c:pt>
                <c:pt idx="212">
                  <c:v>16</c:v>
                </c:pt>
                <c:pt idx="213">
                  <c:v>28</c:v>
                </c:pt>
                <c:pt idx="214">
                  <c:v>19</c:v>
                </c:pt>
                <c:pt idx="215">
                  <c:v>14</c:v>
                </c:pt>
                <c:pt idx="216">
                  <c:v>17</c:v>
                </c:pt>
                <c:pt idx="217">
                  <c:v>19</c:v>
                </c:pt>
                <c:pt idx="218">
                  <c:v>12</c:v>
                </c:pt>
                <c:pt idx="219">
                  <c:v>10</c:v>
                </c:pt>
                <c:pt idx="220">
                  <c:v>20</c:v>
                </c:pt>
                <c:pt idx="221">
                  <c:v>12</c:v>
                </c:pt>
                <c:pt idx="222">
                  <c:v>24</c:v>
                </c:pt>
                <c:pt idx="223">
                  <c:v>16</c:v>
                </c:pt>
                <c:pt idx="224">
                  <c:v>16</c:v>
                </c:pt>
                <c:pt idx="225">
                  <c:v>14</c:v>
                </c:pt>
                <c:pt idx="226">
                  <c:v>12</c:v>
                </c:pt>
                <c:pt idx="227">
                  <c:v>18</c:v>
                </c:pt>
                <c:pt idx="228">
                  <c:v>15</c:v>
                </c:pt>
                <c:pt idx="229">
                  <c:v>25</c:v>
                </c:pt>
                <c:pt idx="230">
                  <c:v>15</c:v>
                </c:pt>
                <c:pt idx="231">
                  <c:v>19</c:v>
                </c:pt>
                <c:pt idx="232">
                  <c:v>23</c:v>
                </c:pt>
                <c:pt idx="233">
                  <c:v>10</c:v>
                </c:pt>
                <c:pt idx="234">
                  <c:v>14</c:v>
                </c:pt>
                <c:pt idx="235">
                  <c:v>16</c:v>
                </c:pt>
                <c:pt idx="236">
                  <c:v>18</c:v>
                </c:pt>
                <c:pt idx="237">
                  <c:v>22</c:v>
                </c:pt>
                <c:pt idx="238">
                  <c:v>14</c:v>
                </c:pt>
                <c:pt idx="239">
                  <c:v>15</c:v>
                </c:pt>
                <c:pt idx="240">
                  <c:v>21</c:v>
                </c:pt>
                <c:pt idx="241">
                  <c:v>17</c:v>
                </c:pt>
                <c:pt idx="242">
                  <c:v>16</c:v>
                </c:pt>
                <c:pt idx="243">
                  <c:v>19</c:v>
                </c:pt>
                <c:pt idx="244">
                  <c:v>23</c:v>
                </c:pt>
                <c:pt idx="245">
                  <c:v>17</c:v>
                </c:pt>
                <c:pt idx="246">
                  <c:v>20</c:v>
                </c:pt>
                <c:pt idx="247">
                  <c:v>16</c:v>
                </c:pt>
                <c:pt idx="248">
                  <c:v>11</c:v>
                </c:pt>
                <c:pt idx="249">
                  <c:v>17</c:v>
                </c:pt>
                <c:pt idx="250">
                  <c:v>15</c:v>
                </c:pt>
                <c:pt idx="251">
                  <c:v>17</c:v>
                </c:pt>
                <c:pt idx="252">
                  <c:v>17</c:v>
                </c:pt>
                <c:pt idx="253">
                  <c:v>13</c:v>
                </c:pt>
                <c:pt idx="254">
                  <c:v>12</c:v>
                </c:pt>
                <c:pt idx="255">
                  <c:v>19</c:v>
                </c:pt>
                <c:pt idx="256">
                  <c:v>12</c:v>
                </c:pt>
                <c:pt idx="257">
                  <c:v>15</c:v>
                </c:pt>
                <c:pt idx="258">
                  <c:v>18</c:v>
                </c:pt>
                <c:pt idx="259">
                  <c:v>13</c:v>
                </c:pt>
                <c:pt idx="260">
                  <c:v>22</c:v>
                </c:pt>
                <c:pt idx="261">
                  <c:v>16</c:v>
                </c:pt>
                <c:pt idx="262">
                  <c:v>13</c:v>
                </c:pt>
                <c:pt idx="263">
                  <c:v>14</c:v>
                </c:pt>
                <c:pt idx="264">
                  <c:v>21</c:v>
                </c:pt>
                <c:pt idx="265">
                  <c:v>9</c:v>
                </c:pt>
                <c:pt idx="266">
                  <c:v>10</c:v>
                </c:pt>
                <c:pt idx="267">
                  <c:v>15</c:v>
                </c:pt>
                <c:pt idx="268">
                  <c:v>15</c:v>
                </c:pt>
                <c:pt idx="269">
                  <c:v>13</c:v>
                </c:pt>
                <c:pt idx="270">
                  <c:v>12</c:v>
                </c:pt>
                <c:pt idx="271">
                  <c:v>17</c:v>
                </c:pt>
                <c:pt idx="272">
                  <c:v>17</c:v>
                </c:pt>
                <c:pt idx="273">
                  <c:v>17</c:v>
                </c:pt>
                <c:pt idx="274">
                  <c:v>20</c:v>
                </c:pt>
                <c:pt idx="275">
                  <c:v>11</c:v>
                </c:pt>
                <c:pt idx="276">
                  <c:v>18</c:v>
                </c:pt>
                <c:pt idx="277">
                  <c:v>16</c:v>
                </c:pt>
                <c:pt idx="278">
                  <c:v>11</c:v>
                </c:pt>
                <c:pt idx="279">
                  <c:v>11</c:v>
                </c:pt>
                <c:pt idx="280">
                  <c:v>14</c:v>
                </c:pt>
                <c:pt idx="281">
                  <c:v>16</c:v>
                </c:pt>
                <c:pt idx="282">
                  <c:v>18</c:v>
                </c:pt>
                <c:pt idx="283">
                  <c:v>10</c:v>
                </c:pt>
                <c:pt idx="284">
                  <c:v>23</c:v>
                </c:pt>
                <c:pt idx="285">
                  <c:v>19</c:v>
                </c:pt>
                <c:pt idx="286">
                  <c:v>14</c:v>
                </c:pt>
                <c:pt idx="287">
                  <c:v>20</c:v>
                </c:pt>
                <c:pt idx="288">
                  <c:v>15</c:v>
                </c:pt>
                <c:pt idx="289">
                  <c:v>12</c:v>
                </c:pt>
                <c:pt idx="290">
                  <c:v>17</c:v>
                </c:pt>
                <c:pt idx="291">
                  <c:v>18</c:v>
                </c:pt>
                <c:pt idx="292">
                  <c:v>16</c:v>
                </c:pt>
                <c:pt idx="293">
                  <c:v>20</c:v>
                </c:pt>
                <c:pt idx="294">
                  <c:v>17</c:v>
                </c:pt>
                <c:pt idx="295">
                  <c:v>19</c:v>
                </c:pt>
                <c:pt idx="296">
                  <c:v>17</c:v>
                </c:pt>
                <c:pt idx="297">
                  <c:v>18</c:v>
                </c:pt>
                <c:pt idx="298">
                  <c:v>18</c:v>
                </c:pt>
                <c:pt idx="299">
                  <c:v>15</c:v>
                </c:pt>
                <c:pt idx="300">
                  <c:v>10</c:v>
                </c:pt>
                <c:pt idx="301">
                  <c:v>14</c:v>
                </c:pt>
                <c:pt idx="302">
                  <c:v>9</c:v>
                </c:pt>
                <c:pt idx="303">
                  <c:v>15</c:v>
                </c:pt>
              </c:numCache>
            </c:numRef>
          </c:val>
          <c:extLst>
            <c:ext xmlns:c16="http://schemas.microsoft.com/office/drawing/2014/chart" uri="{C3380CC4-5D6E-409C-BE32-E72D297353CC}">
              <c16:uniqueId val="{00000001-5E55-4670-8EAC-079EF9997478}"/>
            </c:ext>
          </c:extLst>
        </c:ser>
        <c:dLbls>
          <c:showLegendKey val="0"/>
          <c:showVal val="0"/>
          <c:showCatName val="0"/>
          <c:showSerName val="0"/>
          <c:showPercent val="0"/>
          <c:showBubbleSize val="0"/>
        </c:dLbls>
        <c:axId val="224059615"/>
        <c:axId val="224060095"/>
      </c:areaChart>
      <c:catAx>
        <c:axId val="224059615"/>
        <c:scaling>
          <c:orientation val="minMax"/>
        </c:scaling>
        <c:delete val="1"/>
        <c:axPos val="b"/>
        <c:numFmt formatCode="General" sourceLinked="1"/>
        <c:majorTickMark val="out"/>
        <c:minorTickMark val="none"/>
        <c:tickLblPos val="nextTo"/>
        <c:crossAx val="224060095"/>
        <c:crosses val="autoZero"/>
        <c:auto val="1"/>
        <c:lblAlgn val="ctr"/>
        <c:lblOffset val="100"/>
        <c:noMultiLvlLbl val="0"/>
      </c:catAx>
      <c:valAx>
        <c:axId val="224060095"/>
        <c:scaling>
          <c:orientation val="minMax"/>
        </c:scaling>
        <c:delete val="1"/>
        <c:axPos val="l"/>
        <c:numFmt formatCode="General" sourceLinked="1"/>
        <c:majorTickMark val="none"/>
        <c:minorTickMark val="none"/>
        <c:tickLblPos val="nextTo"/>
        <c:crossAx val="22405961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2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3.2950038373556036E-3"/>
          <c:y val="0.66647620826218945"/>
          <c:w val="0.98344115202840554"/>
          <c:h val="0.33352373789542666"/>
        </c:manualLayout>
      </c:layout>
      <c:areaChart>
        <c:grouping val="standard"/>
        <c:varyColors val="0"/>
        <c:ser>
          <c:idx val="0"/>
          <c:order val="0"/>
          <c:tx>
            <c:strRef>
              <c:f>'Pivot Report'!$J$7</c:f>
              <c:strCache>
                <c:ptCount val="1"/>
                <c:pt idx="0">
                  <c:v>Total</c:v>
                </c:pt>
              </c:strCache>
            </c:strRef>
          </c:tx>
          <c:spPr>
            <a:solidFill>
              <a:schemeClr val="accent1"/>
            </a:solidFill>
            <a:ln>
              <a:noFill/>
            </a:ln>
            <a:effectLst/>
          </c:spPr>
          <c:cat>
            <c:strRef>
              <c:f>'Pivot Report'!$I$8:$I$312</c:f>
              <c:strCache>
                <c:ptCount val="304"/>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Report'!$J$8:$J$312</c:f>
              <c:numCache>
                <c:formatCode>0.00</c:formatCode>
                <c:ptCount val="304"/>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31.833333333333332</c:v>
                </c:pt>
                <c:pt idx="92">
                  <c:v>39.368421052631582</c:v>
                </c:pt>
                <c:pt idx="93">
                  <c:v>32.352941176470587</c:v>
                </c:pt>
                <c:pt idx="94">
                  <c:v>34.049999999999997</c:v>
                </c:pt>
                <c:pt idx="95">
                  <c:v>31.8</c:v>
                </c:pt>
                <c:pt idx="96">
                  <c:v>37.823529411764703</c:v>
                </c:pt>
                <c:pt idx="97">
                  <c:v>31.875</c:v>
                </c:pt>
                <c:pt idx="98">
                  <c:v>27.3</c:v>
                </c:pt>
                <c:pt idx="99">
                  <c:v>31.933333333333334</c:v>
                </c:pt>
                <c:pt idx="100">
                  <c:v>30.5</c:v>
                </c:pt>
                <c:pt idx="101">
                  <c:v>38.0625</c:v>
                </c:pt>
                <c:pt idx="102">
                  <c:v>36.333333333333336</c:v>
                </c:pt>
                <c:pt idx="103">
                  <c:v>27</c:v>
                </c:pt>
                <c:pt idx="104">
                  <c:v>37.46153846153846</c:v>
                </c:pt>
                <c:pt idx="105">
                  <c:v>39.25</c:v>
                </c:pt>
                <c:pt idx="106">
                  <c:v>33.647058823529413</c:v>
                </c:pt>
                <c:pt idx="107">
                  <c:v>42.2</c:v>
                </c:pt>
                <c:pt idx="108">
                  <c:v>33.3125</c:v>
                </c:pt>
                <c:pt idx="109">
                  <c:v>25.76923076923077</c:v>
                </c:pt>
                <c:pt idx="110">
                  <c:v>37.125</c:v>
                </c:pt>
                <c:pt idx="111">
                  <c:v>37</c:v>
                </c:pt>
                <c:pt idx="112">
                  <c:v>36.80952380952381</c:v>
                </c:pt>
                <c:pt idx="113">
                  <c:v>39.799999999999997</c:v>
                </c:pt>
                <c:pt idx="114">
                  <c:v>38</c:v>
                </c:pt>
                <c:pt idx="115">
                  <c:v>36.133333333333333</c:v>
                </c:pt>
                <c:pt idx="116">
                  <c:v>36.555555555555557</c:v>
                </c:pt>
                <c:pt idx="117">
                  <c:v>39.210526315789473</c:v>
                </c:pt>
                <c:pt idx="118">
                  <c:v>31.1875</c:v>
                </c:pt>
                <c:pt idx="119">
                  <c:v>35.153846153846153</c:v>
                </c:pt>
                <c:pt idx="120">
                  <c:v>34.25</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2-670C-442C-B418-FD1A7F7B78A9}"/>
            </c:ext>
          </c:extLst>
        </c:ser>
        <c:dLbls>
          <c:showLegendKey val="0"/>
          <c:showVal val="0"/>
          <c:showCatName val="0"/>
          <c:showSerName val="0"/>
          <c:showPercent val="0"/>
          <c:showBubbleSize val="0"/>
        </c:dLbls>
        <c:axId val="233924671"/>
        <c:axId val="233927071"/>
      </c:areaChart>
      <c:catAx>
        <c:axId val="233924671"/>
        <c:scaling>
          <c:orientation val="minMax"/>
        </c:scaling>
        <c:delete val="1"/>
        <c:axPos val="b"/>
        <c:numFmt formatCode="General" sourceLinked="1"/>
        <c:majorTickMark val="out"/>
        <c:minorTickMark val="none"/>
        <c:tickLblPos val="nextTo"/>
        <c:crossAx val="233927071"/>
        <c:crosses val="autoZero"/>
        <c:auto val="1"/>
        <c:lblAlgn val="ctr"/>
        <c:lblOffset val="100"/>
        <c:noMultiLvlLbl val="0"/>
      </c:catAx>
      <c:valAx>
        <c:axId val="233927071"/>
        <c:scaling>
          <c:orientation val="minMax"/>
        </c:scaling>
        <c:delete val="1"/>
        <c:axPos val="l"/>
        <c:numFmt formatCode="0.00" sourceLinked="1"/>
        <c:majorTickMark val="none"/>
        <c:minorTickMark val="none"/>
        <c:tickLblPos val="nextTo"/>
        <c:crossAx val="233924671"/>
        <c:crosses val="autoZero"/>
        <c:crossBetween val="midCat"/>
      </c:valAx>
      <c:spPr>
        <a:solidFill>
          <a:schemeClr val="bg1"/>
        </a:solidFill>
        <a:ln>
          <a:solidFill>
            <a:schemeClr val="bg1"/>
          </a:solid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14313754966702E-2"/>
          <c:y val="0"/>
          <c:w val="0.98072457093583265"/>
          <c:h val="0.97068176494274627"/>
        </c:manualLayout>
      </c:layout>
      <c:areaChart>
        <c:grouping val="standard"/>
        <c:varyColors val="0"/>
        <c:ser>
          <c:idx val="0"/>
          <c:order val="0"/>
          <c:tx>
            <c:strRef>
              <c:f>'Pivot Report'!$O$6</c:f>
              <c:strCache>
                <c:ptCount val="1"/>
                <c:pt idx="0">
                  <c:v>Total</c:v>
                </c:pt>
              </c:strCache>
            </c:strRef>
          </c:tx>
          <c:spPr>
            <a:solidFill>
              <a:schemeClr val="accent1"/>
            </a:solidFill>
            <a:ln>
              <a:noFill/>
            </a:ln>
            <a:effectLst/>
          </c:spPr>
          <c:cat>
            <c:strRef>
              <c:f>'Pivot Report'!$N$7:$N$305</c:f>
              <c:strCache>
                <c:ptCount val="298"/>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2-Apr</c:v>
                </c:pt>
                <c:pt idx="91">
                  <c:v>3-Apr</c:v>
                </c:pt>
                <c:pt idx="92">
                  <c:v>4-Apr</c:v>
                </c:pt>
                <c:pt idx="93">
                  <c:v>5-Apr</c:v>
                </c:pt>
                <c:pt idx="94">
                  <c:v>6-Apr</c:v>
                </c:pt>
                <c:pt idx="95">
                  <c:v>7-Apr</c:v>
                </c:pt>
                <c:pt idx="96">
                  <c:v>8-Apr</c:v>
                </c:pt>
                <c:pt idx="97">
                  <c:v>9-Apr</c:v>
                </c:pt>
                <c:pt idx="98">
                  <c:v>11-Apr</c:v>
                </c:pt>
                <c:pt idx="99">
                  <c:v>12-Apr</c:v>
                </c:pt>
                <c:pt idx="100">
                  <c:v>13-Apr</c:v>
                </c:pt>
                <c:pt idx="101">
                  <c:v>14-Apr</c:v>
                </c:pt>
                <c:pt idx="102">
                  <c:v>15-Apr</c:v>
                </c:pt>
                <c:pt idx="103">
                  <c:v>16-Apr</c:v>
                </c:pt>
                <c:pt idx="104">
                  <c:v>17-Apr</c:v>
                </c:pt>
                <c:pt idx="105">
                  <c:v>18-Apr</c:v>
                </c:pt>
                <c:pt idx="106">
                  <c:v>19-Apr</c:v>
                </c:pt>
                <c:pt idx="107">
                  <c:v>20-Apr</c:v>
                </c:pt>
                <c:pt idx="108">
                  <c:v>22-Apr</c:v>
                </c:pt>
                <c:pt idx="109">
                  <c:v>23-Apr</c:v>
                </c:pt>
                <c:pt idx="110">
                  <c:v>24-Apr</c:v>
                </c:pt>
                <c:pt idx="111">
                  <c:v>25-Apr</c:v>
                </c:pt>
                <c:pt idx="112">
                  <c:v>26-Apr</c:v>
                </c:pt>
                <c:pt idx="113">
                  <c:v>27-Apr</c:v>
                </c:pt>
                <c:pt idx="114">
                  <c:v>28-Apr</c:v>
                </c:pt>
                <c:pt idx="115">
                  <c:v>29-Apr</c:v>
                </c:pt>
                <c:pt idx="116">
                  <c:v>30-Apr</c:v>
                </c:pt>
                <c:pt idx="117">
                  <c:v>1-May</c:v>
                </c:pt>
                <c:pt idx="118">
                  <c:v>2-May</c:v>
                </c:pt>
                <c:pt idx="119">
                  <c:v>3-May</c:v>
                </c:pt>
                <c:pt idx="120">
                  <c:v>4-May</c:v>
                </c:pt>
                <c:pt idx="121">
                  <c:v>5-May</c:v>
                </c:pt>
                <c:pt idx="122">
                  <c:v>6-May</c:v>
                </c:pt>
                <c:pt idx="123">
                  <c:v>7-May</c:v>
                </c:pt>
                <c:pt idx="124">
                  <c:v>8-May</c:v>
                </c:pt>
                <c:pt idx="125">
                  <c:v>9-May</c:v>
                </c:pt>
                <c:pt idx="126">
                  <c:v>10-May</c:v>
                </c:pt>
                <c:pt idx="127">
                  <c:v>11-May</c:v>
                </c:pt>
                <c:pt idx="128">
                  <c:v>12-May</c:v>
                </c:pt>
                <c:pt idx="129">
                  <c:v>13-May</c:v>
                </c:pt>
                <c:pt idx="130">
                  <c:v>14-May</c:v>
                </c:pt>
                <c:pt idx="131">
                  <c:v>15-May</c:v>
                </c:pt>
                <c:pt idx="132">
                  <c:v>16-May</c:v>
                </c:pt>
                <c:pt idx="133">
                  <c:v>17-May</c:v>
                </c:pt>
                <c:pt idx="134">
                  <c:v>18-May</c:v>
                </c:pt>
                <c:pt idx="135">
                  <c:v>19-May</c:v>
                </c:pt>
                <c:pt idx="136">
                  <c:v>20-May</c:v>
                </c:pt>
                <c:pt idx="137">
                  <c:v>21-May</c:v>
                </c:pt>
                <c:pt idx="138">
                  <c:v>22-May</c:v>
                </c:pt>
                <c:pt idx="139">
                  <c:v>23-May</c:v>
                </c:pt>
                <c:pt idx="140">
                  <c:v>24-May</c:v>
                </c:pt>
                <c:pt idx="141">
                  <c:v>25-May</c:v>
                </c:pt>
                <c:pt idx="142">
                  <c:v>26-May</c:v>
                </c:pt>
                <c:pt idx="143">
                  <c:v>27-May</c:v>
                </c:pt>
                <c:pt idx="144">
                  <c:v>28-May</c:v>
                </c:pt>
                <c:pt idx="145">
                  <c:v>29-May</c:v>
                </c:pt>
                <c:pt idx="146">
                  <c:v>30-May</c:v>
                </c:pt>
                <c:pt idx="147">
                  <c:v>31-May</c:v>
                </c:pt>
                <c:pt idx="148">
                  <c:v>1-Jun</c:v>
                </c:pt>
                <c:pt idx="149">
                  <c:v>2-Jun</c:v>
                </c:pt>
                <c:pt idx="150">
                  <c:v>3-Jun</c:v>
                </c:pt>
                <c:pt idx="151">
                  <c:v>4-Jun</c:v>
                </c:pt>
                <c:pt idx="152">
                  <c:v>5-Jun</c:v>
                </c:pt>
                <c:pt idx="153">
                  <c:v>6-Jun</c:v>
                </c:pt>
                <c:pt idx="154">
                  <c:v>7-Jun</c:v>
                </c:pt>
                <c:pt idx="155">
                  <c:v>8-Jun</c:v>
                </c:pt>
                <c:pt idx="156">
                  <c:v>9-Jun</c:v>
                </c:pt>
                <c:pt idx="157">
                  <c:v>10-Jun</c:v>
                </c:pt>
                <c:pt idx="158">
                  <c:v>11-Jun</c:v>
                </c:pt>
                <c:pt idx="159">
                  <c:v>12-Jun</c:v>
                </c:pt>
                <c:pt idx="160">
                  <c:v>13-Jun</c:v>
                </c:pt>
                <c:pt idx="161">
                  <c:v>14-Jun</c:v>
                </c:pt>
                <c:pt idx="162">
                  <c:v>15-Jun</c:v>
                </c:pt>
                <c:pt idx="163">
                  <c:v>16-Jun</c:v>
                </c:pt>
                <c:pt idx="164">
                  <c:v>17-Jun</c:v>
                </c:pt>
                <c:pt idx="165">
                  <c:v>18-Jun</c:v>
                </c:pt>
                <c:pt idx="166">
                  <c:v>19-Jun</c:v>
                </c:pt>
                <c:pt idx="167">
                  <c:v>20-Jun</c:v>
                </c:pt>
                <c:pt idx="168">
                  <c:v>21-Jun</c:v>
                </c:pt>
                <c:pt idx="169">
                  <c:v>22-Jun</c:v>
                </c:pt>
                <c:pt idx="170">
                  <c:v>23-Jun</c:v>
                </c:pt>
                <c:pt idx="171">
                  <c:v>24-Jun</c:v>
                </c:pt>
                <c:pt idx="172">
                  <c:v>25-Jun</c:v>
                </c:pt>
                <c:pt idx="173">
                  <c:v>26-Jun</c:v>
                </c:pt>
                <c:pt idx="174">
                  <c:v>27-Jun</c:v>
                </c:pt>
                <c:pt idx="175">
                  <c:v>28-Jun</c:v>
                </c:pt>
                <c:pt idx="176">
                  <c:v>29-Jun</c:v>
                </c:pt>
                <c:pt idx="177">
                  <c:v>30-Jun</c:v>
                </c:pt>
                <c:pt idx="178">
                  <c:v>1-Jul</c:v>
                </c:pt>
                <c:pt idx="179">
                  <c:v>2-Jul</c:v>
                </c:pt>
                <c:pt idx="180">
                  <c:v>3-Jul</c:v>
                </c:pt>
                <c:pt idx="181">
                  <c:v>4-Jul</c:v>
                </c:pt>
                <c:pt idx="182">
                  <c:v>5-Jul</c:v>
                </c:pt>
                <c:pt idx="183">
                  <c:v>6-Jul</c:v>
                </c:pt>
                <c:pt idx="184">
                  <c:v>7-Jul</c:v>
                </c:pt>
                <c:pt idx="185">
                  <c:v>8-Jul</c:v>
                </c:pt>
                <c:pt idx="186">
                  <c:v>9-Jul</c:v>
                </c:pt>
                <c:pt idx="187">
                  <c:v>10-Jul</c:v>
                </c:pt>
                <c:pt idx="188">
                  <c:v>11-Jul</c:v>
                </c:pt>
                <c:pt idx="189">
                  <c:v>12-Jul</c:v>
                </c:pt>
                <c:pt idx="190">
                  <c:v>13-Jul</c:v>
                </c:pt>
                <c:pt idx="191">
                  <c:v>14-Jul</c:v>
                </c:pt>
                <c:pt idx="192">
                  <c:v>15-Jul</c:v>
                </c:pt>
                <c:pt idx="193">
                  <c:v>16-Jul</c:v>
                </c:pt>
                <c:pt idx="194">
                  <c:v>17-Jul</c:v>
                </c:pt>
                <c:pt idx="195">
                  <c:v>18-Jul</c:v>
                </c:pt>
                <c:pt idx="196">
                  <c:v>19-Jul</c:v>
                </c:pt>
                <c:pt idx="197">
                  <c:v>20-Jul</c:v>
                </c:pt>
                <c:pt idx="198">
                  <c:v>21-Jul</c:v>
                </c:pt>
                <c:pt idx="199">
                  <c:v>22-Jul</c:v>
                </c:pt>
                <c:pt idx="200">
                  <c:v>23-Jul</c:v>
                </c:pt>
                <c:pt idx="201">
                  <c:v>24-Jul</c:v>
                </c:pt>
                <c:pt idx="202">
                  <c:v>25-Jul</c:v>
                </c:pt>
                <c:pt idx="203">
                  <c:v>26-Jul</c:v>
                </c:pt>
                <c:pt idx="204">
                  <c:v>27-Jul</c:v>
                </c:pt>
                <c:pt idx="205">
                  <c:v>28-Jul</c:v>
                </c:pt>
                <c:pt idx="206">
                  <c:v>29-Jul</c:v>
                </c:pt>
                <c:pt idx="207">
                  <c:v>30-Jul</c:v>
                </c:pt>
                <c:pt idx="208">
                  <c:v>31-Jul</c:v>
                </c:pt>
                <c:pt idx="209">
                  <c:v>1-Aug</c:v>
                </c:pt>
                <c:pt idx="210">
                  <c:v>2-Aug</c:v>
                </c:pt>
                <c:pt idx="211">
                  <c:v>3-Aug</c:v>
                </c:pt>
                <c:pt idx="212">
                  <c:v>4-Aug</c:v>
                </c:pt>
                <c:pt idx="213">
                  <c:v>5-Aug</c:v>
                </c:pt>
                <c:pt idx="214">
                  <c:v>6-Aug</c:v>
                </c:pt>
                <c:pt idx="215">
                  <c:v>8-Aug</c:v>
                </c:pt>
                <c:pt idx="216">
                  <c:v>9-Aug</c:v>
                </c:pt>
                <c:pt idx="217">
                  <c:v>10-Aug</c:v>
                </c:pt>
                <c:pt idx="218">
                  <c:v>11-Aug</c:v>
                </c:pt>
                <c:pt idx="219">
                  <c:v>12-Aug</c:v>
                </c:pt>
                <c:pt idx="220">
                  <c:v>13-Aug</c:v>
                </c:pt>
                <c:pt idx="221">
                  <c:v>14-Aug</c:v>
                </c:pt>
                <c:pt idx="222">
                  <c:v>15-Aug</c:v>
                </c:pt>
                <c:pt idx="223">
                  <c:v>16-Aug</c:v>
                </c:pt>
                <c:pt idx="224">
                  <c:v>17-Aug</c:v>
                </c:pt>
                <c:pt idx="225">
                  <c:v>18-Aug</c:v>
                </c:pt>
                <c:pt idx="226">
                  <c:v>19-Aug</c:v>
                </c:pt>
                <c:pt idx="227">
                  <c:v>20-Aug</c:v>
                </c:pt>
                <c:pt idx="228">
                  <c:v>21-Aug</c:v>
                </c:pt>
                <c:pt idx="229">
                  <c:v>22-Aug</c:v>
                </c:pt>
                <c:pt idx="230">
                  <c:v>23-Aug</c:v>
                </c:pt>
                <c:pt idx="231">
                  <c:v>24-Aug</c:v>
                </c:pt>
                <c:pt idx="232">
                  <c:v>25-Aug</c:v>
                </c:pt>
                <c:pt idx="233">
                  <c:v>26-Aug</c:v>
                </c:pt>
                <c:pt idx="234">
                  <c:v>27-Aug</c:v>
                </c:pt>
                <c:pt idx="235">
                  <c:v>28-Aug</c:v>
                </c:pt>
                <c:pt idx="236">
                  <c:v>29-Aug</c:v>
                </c:pt>
                <c:pt idx="237">
                  <c:v>30-Aug</c:v>
                </c:pt>
                <c:pt idx="238">
                  <c:v>31-Aug</c:v>
                </c:pt>
                <c:pt idx="239">
                  <c:v>1-Sep</c:v>
                </c:pt>
                <c:pt idx="240">
                  <c:v>2-Sep</c:v>
                </c:pt>
                <c:pt idx="241">
                  <c:v>3-Sep</c:v>
                </c:pt>
                <c:pt idx="242">
                  <c:v>4-Sep</c:v>
                </c:pt>
                <c:pt idx="243">
                  <c:v>5-Sep</c:v>
                </c:pt>
                <c:pt idx="244">
                  <c:v>6-Sep</c:v>
                </c:pt>
                <c:pt idx="245">
                  <c:v>7-Sep</c:v>
                </c:pt>
                <c:pt idx="246">
                  <c:v>8-Sep</c:v>
                </c:pt>
                <c:pt idx="247">
                  <c:v>9-Sep</c:v>
                </c:pt>
                <c:pt idx="248">
                  <c:v>10-Sep</c:v>
                </c:pt>
                <c:pt idx="249">
                  <c:v>11-Sep</c:v>
                </c:pt>
                <c:pt idx="250">
                  <c:v>12-Sep</c:v>
                </c:pt>
                <c:pt idx="251">
                  <c:v>13-Sep</c:v>
                </c:pt>
                <c:pt idx="252">
                  <c:v>14-Sep</c:v>
                </c:pt>
                <c:pt idx="253">
                  <c:v>15-Sep</c:v>
                </c:pt>
                <c:pt idx="254">
                  <c:v>16-Sep</c:v>
                </c:pt>
                <c:pt idx="255">
                  <c:v>17-Sep</c:v>
                </c:pt>
                <c:pt idx="256">
                  <c:v>18-Sep</c:v>
                </c:pt>
                <c:pt idx="257">
                  <c:v>19-Sep</c:v>
                </c:pt>
                <c:pt idx="258">
                  <c:v>20-Sep</c:v>
                </c:pt>
                <c:pt idx="259">
                  <c:v>21-Sep</c:v>
                </c:pt>
                <c:pt idx="260">
                  <c:v>23-Sep</c:v>
                </c:pt>
                <c:pt idx="261">
                  <c:v>24-Sep</c:v>
                </c:pt>
                <c:pt idx="262">
                  <c:v>25-Sep</c:v>
                </c:pt>
                <c:pt idx="263">
                  <c:v>26-Sep</c:v>
                </c:pt>
                <c:pt idx="264">
                  <c:v>27-Sep</c:v>
                </c:pt>
                <c:pt idx="265">
                  <c:v>28-Sep</c:v>
                </c:pt>
                <c:pt idx="266">
                  <c:v>29-Sep</c:v>
                </c:pt>
                <c:pt idx="267">
                  <c:v>30-Sep</c:v>
                </c:pt>
                <c:pt idx="268">
                  <c:v>1-Oct</c:v>
                </c:pt>
                <c:pt idx="269">
                  <c:v>2-Oct</c:v>
                </c:pt>
                <c:pt idx="270">
                  <c:v>3-Oct</c:v>
                </c:pt>
                <c:pt idx="271">
                  <c:v>4-Oct</c:v>
                </c:pt>
                <c:pt idx="272">
                  <c:v>5-Oct</c:v>
                </c:pt>
                <c:pt idx="273">
                  <c:v>6-Oct</c:v>
                </c:pt>
                <c:pt idx="274">
                  <c:v>7-Oct</c:v>
                </c:pt>
                <c:pt idx="275">
                  <c:v>8-Oct</c:v>
                </c:pt>
                <c:pt idx="276">
                  <c:v>9-Oct</c:v>
                </c:pt>
                <c:pt idx="277">
                  <c:v>10-Oct</c:v>
                </c:pt>
                <c:pt idx="278">
                  <c:v>11-Oct</c:v>
                </c:pt>
                <c:pt idx="279">
                  <c:v>12-Oct</c:v>
                </c:pt>
                <c:pt idx="280">
                  <c:v>13-Oct</c:v>
                </c:pt>
                <c:pt idx="281">
                  <c:v>14-Oct</c:v>
                </c:pt>
                <c:pt idx="282">
                  <c:v>15-Oct</c:v>
                </c:pt>
                <c:pt idx="283">
                  <c:v>16-Oct</c:v>
                </c:pt>
                <c:pt idx="284">
                  <c:v>17-Oct</c:v>
                </c:pt>
                <c:pt idx="285">
                  <c:v>18-Oct</c:v>
                </c:pt>
                <c:pt idx="286">
                  <c:v>19-Oct</c:v>
                </c:pt>
                <c:pt idx="287">
                  <c:v>20-Oct</c:v>
                </c:pt>
                <c:pt idx="288">
                  <c:v>21-Oct</c:v>
                </c:pt>
                <c:pt idx="289">
                  <c:v>22-Oct</c:v>
                </c:pt>
                <c:pt idx="290">
                  <c:v>23-Oct</c:v>
                </c:pt>
                <c:pt idx="291">
                  <c:v>24-Oct</c:v>
                </c:pt>
                <c:pt idx="292">
                  <c:v>25-Oct</c:v>
                </c:pt>
                <c:pt idx="293">
                  <c:v>26-Oct</c:v>
                </c:pt>
                <c:pt idx="294">
                  <c:v>27-Oct</c:v>
                </c:pt>
                <c:pt idx="295">
                  <c:v>28-Oct</c:v>
                </c:pt>
                <c:pt idx="296">
                  <c:v>29-Oct</c:v>
                </c:pt>
                <c:pt idx="297">
                  <c:v>30-Oct</c:v>
                </c:pt>
              </c:strCache>
            </c:strRef>
          </c:cat>
          <c:val>
            <c:numRef>
              <c:f>'Pivot Report'!$O$7:$O$305</c:f>
              <c:numCache>
                <c:formatCode>0.00</c:formatCode>
                <c:ptCount val="298"/>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4.5999999999999996</c:v>
                </c:pt>
                <c:pt idx="91">
                  <c:v>4.5999999999999996</c:v>
                </c:pt>
                <c:pt idx="92">
                  <c:v>5.666666666666667</c:v>
                </c:pt>
                <c:pt idx="93">
                  <c:v>3.4</c:v>
                </c:pt>
                <c:pt idx="94">
                  <c:v>4.333333333333333</c:v>
                </c:pt>
                <c:pt idx="95">
                  <c:v>4.4000000000000004</c:v>
                </c:pt>
                <c:pt idx="96">
                  <c:v>4.25</c:v>
                </c:pt>
                <c:pt idx="97">
                  <c:v>4.5999999999999996</c:v>
                </c:pt>
                <c:pt idx="98">
                  <c:v>2.3333333333333335</c:v>
                </c:pt>
                <c:pt idx="99">
                  <c:v>9</c:v>
                </c:pt>
                <c:pt idx="100">
                  <c:v>2.75</c:v>
                </c:pt>
                <c:pt idx="101">
                  <c:v>6.8888888888888893</c:v>
                </c:pt>
                <c:pt idx="102">
                  <c:v>5</c:v>
                </c:pt>
                <c:pt idx="103">
                  <c:v>4.166666666666667</c:v>
                </c:pt>
                <c:pt idx="104">
                  <c:v>2.5</c:v>
                </c:pt>
                <c:pt idx="105">
                  <c:v>6</c:v>
                </c:pt>
                <c:pt idx="106">
                  <c:v>3.8</c:v>
                </c:pt>
                <c:pt idx="107">
                  <c:v>3.6</c:v>
                </c:pt>
                <c:pt idx="108">
                  <c:v>5.8571428571428568</c:v>
                </c:pt>
                <c:pt idx="109">
                  <c:v>6.25</c:v>
                </c:pt>
                <c:pt idx="110">
                  <c:v>4.666666666666667</c:v>
                </c:pt>
                <c:pt idx="111">
                  <c:v>0</c:v>
                </c:pt>
                <c:pt idx="112">
                  <c:v>4.666666666666667</c:v>
                </c:pt>
                <c:pt idx="113">
                  <c:v>2.8</c:v>
                </c:pt>
                <c:pt idx="114">
                  <c:v>4.2</c:v>
                </c:pt>
                <c:pt idx="115">
                  <c:v>2.5</c:v>
                </c:pt>
                <c:pt idx="116">
                  <c:v>5</c:v>
                </c:pt>
                <c:pt idx="117">
                  <c:v>7.4</c:v>
                </c:pt>
                <c:pt idx="118">
                  <c:v>5.6</c:v>
                </c:pt>
                <c:pt idx="119">
                  <c:v>6.7142857142857144</c:v>
                </c:pt>
                <c:pt idx="120">
                  <c:v>6</c:v>
                </c:pt>
                <c:pt idx="121">
                  <c:v>4</c:v>
                </c:pt>
                <c:pt idx="122">
                  <c:v>4.7142857142857144</c:v>
                </c:pt>
                <c:pt idx="123">
                  <c:v>1.8</c:v>
                </c:pt>
                <c:pt idx="124">
                  <c:v>4.833333333333333</c:v>
                </c:pt>
                <c:pt idx="125">
                  <c:v>4.25</c:v>
                </c:pt>
                <c:pt idx="126">
                  <c:v>4.5999999999999996</c:v>
                </c:pt>
                <c:pt idx="127">
                  <c:v>6.5</c:v>
                </c:pt>
                <c:pt idx="128">
                  <c:v>5</c:v>
                </c:pt>
                <c:pt idx="129">
                  <c:v>6</c:v>
                </c:pt>
                <c:pt idx="130">
                  <c:v>4.7142857142857144</c:v>
                </c:pt>
                <c:pt idx="131">
                  <c:v>4.2</c:v>
                </c:pt>
                <c:pt idx="132">
                  <c:v>7.2</c:v>
                </c:pt>
                <c:pt idx="133">
                  <c:v>4.333333333333333</c:v>
                </c:pt>
                <c:pt idx="134">
                  <c:v>3.7777777777777777</c:v>
                </c:pt>
                <c:pt idx="135">
                  <c:v>3.6666666666666665</c:v>
                </c:pt>
                <c:pt idx="136">
                  <c:v>4</c:v>
                </c:pt>
                <c:pt idx="137">
                  <c:v>5.833333333333333</c:v>
                </c:pt>
                <c:pt idx="138">
                  <c:v>5.666666666666667</c:v>
                </c:pt>
                <c:pt idx="139">
                  <c:v>5.5</c:v>
                </c:pt>
                <c:pt idx="140">
                  <c:v>5.5</c:v>
                </c:pt>
                <c:pt idx="141">
                  <c:v>7</c:v>
                </c:pt>
                <c:pt idx="142">
                  <c:v>7</c:v>
                </c:pt>
                <c:pt idx="143">
                  <c:v>4</c:v>
                </c:pt>
                <c:pt idx="144">
                  <c:v>4.4444444444444446</c:v>
                </c:pt>
                <c:pt idx="145">
                  <c:v>4.8571428571428568</c:v>
                </c:pt>
                <c:pt idx="146">
                  <c:v>5.5714285714285712</c:v>
                </c:pt>
                <c:pt idx="147">
                  <c:v>6</c:v>
                </c:pt>
                <c:pt idx="148">
                  <c:v>4.75</c:v>
                </c:pt>
                <c:pt idx="149">
                  <c:v>5.2</c:v>
                </c:pt>
                <c:pt idx="150">
                  <c:v>3.375</c:v>
                </c:pt>
                <c:pt idx="151">
                  <c:v>5.8</c:v>
                </c:pt>
                <c:pt idx="152">
                  <c:v>4.375</c:v>
                </c:pt>
                <c:pt idx="153">
                  <c:v>3</c:v>
                </c:pt>
                <c:pt idx="154">
                  <c:v>5</c:v>
                </c:pt>
                <c:pt idx="155">
                  <c:v>3</c:v>
                </c:pt>
                <c:pt idx="156">
                  <c:v>4.9090909090909092</c:v>
                </c:pt>
                <c:pt idx="157">
                  <c:v>3.8333333333333335</c:v>
                </c:pt>
                <c:pt idx="158">
                  <c:v>3.875</c:v>
                </c:pt>
                <c:pt idx="159">
                  <c:v>4.333333333333333</c:v>
                </c:pt>
                <c:pt idx="160">
                  <c:v>3.5</c:v>
                </c:pt>
                <c:pt idx="161">
                  <c:v>5.4</c:v>
                </c:pt>
                <c:pt idx="162">
                  <c:v>5.375</c:v>
                </c:pt>
                <c:pt idx="163">
                  <c:v>3.3333333333333335</c:v>
                </c:pt>
                <c:pt idx="164">
                  <c:v>6.2</c:v>
                </c:pt>
                <c:pt idx="165">
                  <c:v>1.6666666666666667</c:v>
                </c:pt>
                <c:pt idx="166">
                  <c:v>4.5</c:v>
                </c:pt>
                <c:pt idx="167">
                  <c:v>7.666666666666667</c:v>
                </c:pt>
                <c:pt idx="168">
                  <c:v>4.4000000000000004</c:v>
                </c:pt>
                <c:pt idx="169">
                  <c:v>6.5</c:v>
                </c:pt>
                <c:pt idx="170">
                  <c:v>5</c:v>
                </c:pt>
                <c:pt idx="171">
                  <c:v>5.25</c:v>
                </c:pt>
                <c:pt idx="172">
                  <c:v>4.75</c:v>
                </c:pt>
                <c:pt idx="173">
                  <c:v>5</c:v>
                </c:pt>
                <c:pt idx="174">
                  <c:v>4</c:v>
                </c:pt>
                <c:pt idx="175">
                  <c:v>5.333333333333333</c:v>
                </c:pt>
                <c:pt idx="176">
                  <c:v>6</c:v>
                </c:pt>
                <c:pt idx="177">
                  <c:v>6.333333333333333</c:v>
                </c:pt>
                <c:pt idx="178">
                  <c:v>4.125</c:v>
                </c:pt>
                <c:pt idx="179">
                  <c:v>5.333333333333333</c:v>
                </c:pt>
                <c:pt idx="180">
                  <c:v>4.75</c:v>
                </c:pt>
                <c:pt idx="181">
                  <c:v>2</c:v>
                </c:pt>
                <c:pt idx="182">
                  <c:v>8</c:v>
                </c:pt>
                <c:pt idx="183">
                  <c:v>3.5</c:v>
                </c:pt>
                <c:pt idx="184">
                  <c:v>7</c:v>
                </c:pt>
                <c:pt idx="185">
                  <c:v>3.5</c:v>
                </c:pt>
                <c:pt idx="186">
                  <c:v>6.4</c:v>
                </c:pt>
                <c:pt idx="187">
                  <c:v>3.5</c:v>
                </c:pt>
                <c:pt idx="188">
                  <c:v>6.5</c:v>
                </c:pt>
                <c:pt idx="189">
                  <c:v>5.2857142857142856</c:v>
                </c:pt>
                <c:pt idx="190">
                  <c:v>4.333333333333333</c:v>
                </c:pt>
                <c:pt idx="191">
                  <c:v>3</c:v>
                </c:pt>
                <c:pt idx="192">
                  <c:v>4.333333333333333</c:v>
                </c:pt>
                <c:pt idx="193">
                  <c:v>3.3333333333333335</c:v>
                </c:pt>
                <c:pt idx="194">
                  <c:v>2.5714285714285716</c:v>
                </c:pt>
                <c:pt idx="195">
                  <c:v>3.75</c:v>
                </c:pt>
                <c:pt idx="196">
                  <c:v>8.3333333333333339</c:v>
                </c:pt>
                <c:pt idx="197">
                  <c:v>3.75</c:v>
                </c:pt>
                <c:pt idx="198">
                  <c:v>4.666666666666667</c:v>
                </c:pt>
                <c:pt idx="199">
                  <c:v>5</c:v>
                </c:pt>
                <c:pt idx="200">
                  <c:v>4.333333333333333</c:v>
                </c:pt>
                <c:pt idx="201">
                  <c:v>4.666666666666667</c:v>
                </c:pt>
                <c:pt idx="202">
                  <c:v>4.5</c:v>
                </c:pt>
                <c:pt idx="203">
                  <c:v>6</c:v>
                </c:pt>
                <c:pt idx="204">
                  <c:v>6.8888888888888893</c:v>
                </c:pt>
                <c:pt idx="205">
                  <c:v>6.5714285714285712</c:v>
                </c:pt>
                <c:pt idx="206">
                  <c:v>4.0999999999999996</c:v>
                </c:pt>
                <c:pt idx="207">
                  <c:v>5</c:v>
                </c:pt>
                <c:pt idx="208">
                  <c:v>5.4</c:v>
                </c:pt>
                <c:pt idx="209">
                  <c:v>4.5</c:v>
                </c:pt>
                <c:pt idx="210">
                  <c:v>4.666666666666667</c:v>
                </c:pt>
                <c:pt idx="211">
                  <c:v>7.4</c:v>
                </c:pt>
                <c:pt idx="212">
                  <c:v>4.5</c:v>
                </c:pt>
                <c:pt idx="213">
                  <c:v>4.8</c:v>
                </c:pt>
                <c:pt idx="214">
                  <c:v>4.75</c:v>
                </c:pt>
                <c:pt idx="215">
                  <c:v>2.25</c:v>
                </c:pt>
                <c:pt idx="216">
                  <c:v>4</c:v>
                </c:pt>
                <c:pt idx="217">
                  <c:v>6.666666666666667</c:v>
                </c:pt>
                <c:pt idx="218">
                  <c:v>2.6666666666666665</c:v>
                </c:pt>
                <c:pt idx="219">
                  <c:v>3.6666666666666665</c:v>
                </c:pt>
                <c:pt idx="220">
                  <c:v>4</c:v>
                </c:pt>
                <c:pt idx="221">
                  <c:v>7.5</c:v>
                </c:pt>
                <c:pt idx="222">
                  <c:v>5.5</c:v>
                </c:pt>
                <c:pt idx="223">
                  <c:v>7.5</c:v>
                </c:pt>
                <c:pt idx="224">
                  <c:v>5</c:v>
                </c:pt>
                <c:pt idx="225">
                  <c:v>3.5</c:v>
                </c:pt>
                <c:pt idx="226">
                  <c:v>6.5</c:v>
                </c:pt>
                <c:pt idx="227">
                  <c:v>5.833333333333333</c:v>
                </c:pt>
                <c:pt idx="228">
                  <c:v>4.5</c:v>
                </c:pt>
                <c:pt idx="229">
                  <c:v>3.75</c:v>
                </c:pt>
                <c:pt idx="230">
                  <c:v>10</c:v>
                </c:pt>
                <c:pt idx="231">
                  <c:v>4</c:v>
                </c:pt>
                <c:pt idx="232">
                  <c:v>8.3333333333333339</c:v>
                </c:pt>
                <c:pt idx="233">
                  <c:v>3.25</c:v>
                </c:pt>
                <c:pt idx="234">
                  <c:v>6</c:v>
                </c:pt>
                <c:pt idx="235">
                  <c:v>6</c:v>
                </c:pt>
                <c:pt idx="236">
                  <c:v>3.3333333333333335</c:v>
                </c:pt>
                <c:pt idx="237">
                  <c:v>6.666666666666667</c:v>
                </c:pt>
                <c:pt idx="238">
                  <c:v>5.625</c:v>
                </c:pt>
                <c:pt idx="239">
                  <c:v>4.2857142857142856</c:v>
                </c:pt>
                <c:pt idx="240">
                  <c:v>2.6666666666666665</c:v>
                </c:pt>
                <c:pt idx="241">
                  <c:v>3.8571428571428572</c:v>
                </c:pt>
                <c:pt idx="242">
                  <c:v>5.6</c:v>
                </c:pt>
                <c:pt idx="243">
                  <c:v>7</c:v>
                </c:pt>
                <c:pt idx="244">
                  <c:v>4</c:v>
                </c:pt>
                <c:pt idx="245">
                  <c:v>3.2</c:v>
                </c:pt>
                <c:pt idx="246">
                  <c:v>5.5</c:v>
                </c:pt>
                <c:pt idx="247">
                  <c:v>5</c:v>
                </c:pt>
                <c:pt idx="248">
                  <c:v>7</c:v>
                </c:pt>
                <c:pt idx="249">
                  <c:v>6</c:v>
                </c:pt>
                <c:pt idx="250">
                  <c:v>6.5</c:v>
                </c:pt>
                <c:pt idx="251">
                  <c:v>3.5</c:v>
                </c:pt>
                <c:pt idx="252">
                  <c:v>5.4</c:v>
                </c:pt>
                <c:pt idx="253">
                  <c:v>5</c:v>
                </c:pt>
                <c:pt idx="254">
                  <c:v>4.4000000000000004</c:v>
                </c:pt>
                <c:pt idx="255">
                  <c:v>6.75</c:v>
                </c:pt>
                <c:pt idx="256">
                  <c:v>7</c:v>
                </c:pt>
                <c:pt idx="257">
                  <c:v>4.666666666666667</c:v>
                </c:pt>
                <c:pt idx="258">
                  <c:v>3</c:v>
                </c:pt>
                <c:pt idx="259">
                  <c:v>3.4285714285714284</c:v>
                </c:pt>
                <c:pt idx="260">
                  <c:v>2.3333333333333335</c:v>
                </c:pt>
                <c:pt idx="261">
                  <c:v>6</c:v>
                </c:pt>
                <c:pt idx="262">
                  <c:v>5.8</c:v>
                </c:pt>
                <c:pt idx="263">
                  <c:v>5</c:v>
                </c:pt>
                <c:pt idx="264">
                  <c:v>2</c:v>
                </c:pt>
                <c:pt idx="265">
                  <c:v>3</c:v>
                </c:pt>
                <c:pt idx="266">
                  <c:v>8.5</c:v>
                </c:pt>
                <c:pt idx="267">
                  <c:v>5.5714285714285712</c:v>
                </c:pt>
                <c:pt idx="268">
                  <c:v>4.8571428571428568</c:v>
                </c:pt>
                <c:pt idx="269">
                  <c:v>8</c:v>
                </c:pt>
                <c:pt idx="270">
                  <c:v>6</c:v>
                </c:pt>
                <c:pt idx="271">
                  <c:v>6.8</c:v>
                </c:pt>
                <c:pt idx="272">
                  <c:v>3.5</c:v>
                </c:pt>
                <c:pt idx="273">
                  <c:v>0.5</c:v>
                </c:pt>
                <c:pt idx="274">
                  <c:v>4</c:v>
                </c:pt>
                <c:pt idx="275">
                  <c:v>4.75</c:v>
                </c:pt>
                <c:pt idx="276">
                  <c:v>5</c:v>
                </c:pt>
                <c:pt idx="277">
                  <c:v>10</c:v>
                </c:pt>
                <c:pt idx="278">
                  <c:v>5.5</c:v>
                </c:pt>
                <c:pt idx="279">
                  <c:v>4</c:v>
                </c:pt>
                <c:pt idx="280">
                  <c:v>2.6666666666666665</c:v>
                </c:pt>
                <c:pt idx="281">
                  <c:v>5.1111111111111107</c:v>
                </c:pt>
                <c:pt idx="282">
                  <c:v>6.25</c:v>
                </c:pt>
                <c:pt idx="283">
                  <c:v>6.333333333333333</c:v>
                </c:pt>
                <c:pt idx="284">
                  <c:v>7.666666666666667</c:v>
                </c:pt>
                <c:pt idx="285">
                  <c:v>5.8</c:v>
                </c:pt>
                <c:pt idx="286">
                  <c:v>6.666666666666667</c:v>
                </c:pt>
                <c:pt idx="287">
                  <c:v>5.4444444444444446</c:v>
                </c:pt>
                <c:pt idx="288">
                  <c:v>4.4000000000000004</c:v>
                </c:pt>
                <c:pt idx="289">
                  <c:v>4.8</c:v>
                </c:pt>
                <c:pt idx="290">
                  <c:v>4</c:v>
                </c:pt>
                <c:pt idx="291">
                  <c:v>8.25</c:v>
                </c:pt>
                <c:pt idx="292">
                  <c:v>4.5</c:v>
                </c:pt>
                <c:pt idx="293">
                  <c:v>3.5</c:v>
                </c:pt>
                <c:pt idx="294">
                  <c:v>7</c:v>
                </c:pt>
                <c:pt idx="295">
                  <c:v>4.5</c:v>
                </c:pt>
                <c:pt idx="296">
                  <c:v>4.666666666666667</c:v>
                </c:pt>
                <c:pt idx="297">
                  <c:v>5.8</c:v>
                </c:pt>
              </c:numCache>
            </c:numRef>
          </c:val>
          <c:extLst>
            <c:ext xmlns:c16="http://schemas.microsoft.com/office/drawing/2014/chart" uri="{C3380CC4-5D6E-409C-BE32-E72D297353CC}">
              <c16:uniqueId val="{00000000-97EF-488F-BC50-BDB3FA9FCD27}"/>
            </c:ext>
          </c:extLst>
        </c:ser>
        <c:dLbls>
          <c:showLegendKey val="0"/>
          <c:showVal val="0"/>
          <c:showCatName val="0"/>
          <c:showSerName val="0"/>
          <c:showPercent val="0"/>
          <c:showBubbleSize val="0"/>
        </c:dLbls>
        <c:axId val="1583840111"/>
        <c:axId val="1583839151"/>
      </c:areaChart>
      <c:catAx>
        <c:axId val="1583840111"/>
        <c:scaling>
          <c:orientation val="minMax"/>
        </c:scaling>
        <c:delete val="1"/>
        <c:axPos val="b"/>
        <c:numFmt formatCode="General" sourceLinked="1"/>
        <c:majorTickMark val="out"/>
        <c:minorTickMark val="none"/>
        <c:tickLblPos val="nextTo"/>
        <c:crossAx val="1583839151"/>
        <c:crosses val="autoZero"/>
        <c:auto val="1"/>
        <c:lblAlgn val="ctr"/>
        <c:lblOffset val="100"/>
        <c:noMultiLvlLbl val="0"/>
      </c:catAx>
      <c:valAx>
        <c:axId val="1583839151"/>
        <c:scaling>
          <c:orientation val="minMax"/>
        </c:scaling>
        <c:delete val="1"/>
        <c:axPos val="l"/>
        <c:numFmt formatCode="0.00" sourceLinked="1"/>
        <c:majorTickMark val="none"/>
        <c:minorTickMark val="none"/>
        <c:tickLblPos val="nextTo"/>
        <c:crossAx val="1583840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94"/>
  </c:pivotSource>
  <c:chart>
    <c:autoTitleDeleted val="1"/>
    <c:pivotFmts>
      <c:pivotFmt>
        <c:idx val="0"/>
        <c:spPr>
          <a:solidFill>
            <a:schemeClr val="accent1"/>
          </a:solidFill>
          <a:ln w="0" cap="rnd" cmpd="tri">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Report'!$X$5</c:f>
              <c:strCache>
                <c:ptCount val="1"/>
                <c:pt idx="0">
                  <c:v>Total</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Report'!$W$6:$W$14</c:f>
              <c:strCache>
                <c:ptCount val="8"/>
                <c:pt idx="0">
                  <c:v>0-09</c:v>
                </c:pt>
                <c:pt idx="1">
                  <c:v>10-19</c:v>
                </c:pt>
                <c:pt idx="2">
                  <c:v>20-29</c:v>
                </c:pt>
                <c:pt idx="3">
                  <c:v>30-39</c:v>
                </c:pt>
                <c:pt idx="4">
                  <c:v>40-49</c:v>
                </c:pt>
                <c:pt idx="5">
                  <c:v>50-59</c:v>
                </c:pt>
                <c:pt idx="6">
                  <c:v>60-69</c:v>
                </c:pt>
                <c:pt idx="7">
                  <c:v>70-79</c:v>
                </c:pt>
              </c:strCache>
            </c:strRef>
          </c:cat>
          <c:val>
            <c:numRef>
              <c:f>'Pivot Report'!$X$6:$X$14</c:f>
              <c:numCache>
                <c:formatCode>General</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0-37D0-4A1A-AE80-FAE28F91A94E}"/>
            </c:ext>
          </c:extLst>
        </c:ser>
        <c:dLbls>
          <c:showLegendKey val="0"/>
          <c:showVal val="0"/>
          <c:showCatName val="0"/>
          <c:showSerName val="0"/>
          <c:showPercent val="0"/>
          <c:showBubbleSize val="0"/>
        </c:dLbls>
        <c:gapWidth val="144"/>
        <c:overlap val="-24"/>
        <c:axId val="481012928"/>
        <c:axId val="481023488"/>
      </c:barChart>
      <c:catAx>
        <c:axId val="48101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1023488"/>
        <c:crosses val="autoZero"/>
        <c:auto val="1"/>
        <c:lblAlgn val="ctr"/>
        <c:lblOffset val="100"/>
        <c:noMultiLvlLbl val="0"/>
      </c:catAx>
      <c:valAx>
        <c:axId val="481023488"/>
        <c:scaling>
          <c:orientation val="minMax"/>
        </c:scaling>
        <c:delete val="1"/>
        <c:axPos val="l"/>
        <c:numFmt formatCode="General" sourceLinked="1"/>
        <c:majorTickMark val="none"/>
        <c:minorTickMark val="none"/>
        <c:tickLblPos val="nextTo"/>
        <c:crossAx val="48101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99"/>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868476717470027"/>
          <c:y val="0.17684740816303446"/>
          <c:w val="0.58822666049002548"/>
          <c:h val="0.6305508773059002"/>
        </c:manualLayout>
      </c:layout>
      <c:pieChart>
        <c:varyColors val="1"/>
        <c:ser>
          <c:idx val="0"/>
          <c:order val="0"/>
          <c:tx>
            <c:strRef>
              <c:f>'Pivot Report'!$AB$4</c:f>
              <c:strCache>
                <c:ptCount val="1"/>
                <c:pt idx="0">
                  <c:v>Count of Patient Attend Status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C53-4DE3-B7A4-10CF6616A4E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C53-4DE3-B7A4-10CF6616A4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Report'!$AA$5:$AA$7</c:f>
              <c:strCache>
                <c:ptCount val="2"/>
                <c:pt idx="0">
                  <c:v>Dalay</c:v>
                </c:pt>
                <c:pt idx="1">
                  <c:v>On Time</c:v>
                </c:pt>
              </c:strCache>
            </c:strRef>
          </c:cat>
          <c:val>
            <c:numRef>
              <c:f>'Pivot Report'!$AB$5:$AB$7</c:f>
              <c:numCache>
                <c:formatCode>General</c:formatCode>
                <c:ptCount val="2"/>
                <c:pt idx="0">
                  <c:v>297</c:v>
                </c:pt>
                <c:pt idx="1">
                  <c:v>188</c:v>
                </c:pt>
              </c:numCache>
            </c:numRef>
          </c:val>
          <c:extLst>
            <c:ext xmlns:c16="http://schemas.microsoft.com/office/drawing/2014/chart" uri="{C3380CC4-5D6E-409C-BE32-E72D297353CC}">
              <c16:uniqueId val="{00000004-5C53-4DE3-B7A4-10CF6616A4EB}"/>
            </c:ext>
          </c:extLst>
        </c:ser>
        <c:ser>
          <c:idx val="1"/>
          <c:order val="1"/>
          <c:tx>
            <c:strRef>
              <c:f>'Pivot Report'!$AC$4</c:f>
              <c:strCache>
                <c:ptCount val="1"/>
                <c:pt idx="0">
                  <c:v>Count of Patient Attend Status2</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5C53-4DE3-B7A4-10CF6616A4E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5C53-4DE3-B7A4-10CF6616A4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Report'!$AA$5:$AA$7</c:f>
              <c:strCache>
                <c:ptCount val="2"/>
                <c:pt idx="0">
                  <c:v>Dalay</c:v>
                </c:pt>
                <c:pt idx="1">
                  <c:v>On Time</c:v>
                </c:pt>
              </c:strCache>
            </c:strRef>
          </c:cat>
          <c:val>
            <c:numRef>
              <c:f>'Pivot Report'!$AC$5:$AC$7</c:f>
              <c:numCache>
                <c:formatCode>0.00%</c:formatCode>
                <c:ptCount val="2"/>
                <c:pt idx="0">
                  <c:v>0.6123711340206186</c:v>
                </c:pt>
                <c:pt idx="1">
                  <c:v>0.38762886597938145</c:v>
                </c:pt>
              </c:numCache>
            </c:numRef>
          </c:val>
          <c:extLst>
            <c:ext xmlns:c16="http://schemas.microsoft.com/office/drawing/2014/chart" uri="{C3380CC4-5D6E-409C-BE32-E72D297353CC}">
              <c16:uniqueId val="{00000009-5C53-4DE3-B7A4-10CF6616A4E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10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375886090101258"/>
          <c:y val="0.13200074400803108"/>
          <c:w val="0.6779647920823193"/>
          <c:h val="0.69062545483646998"/>
        </c:manualLayout>
      </c:layout>
      <c:doughnutChart>
        <c:varyColors val="1"/>
        <c:ser>
          <c:idx val="0"/>
          <c:order val="0"/>
          <c:tx>
            <c:strRef>
              <c:f>'Pivot Report'!$AF$4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F9D-497A-96B5-711DCE0D868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F9D-497A-96B5-711DCE0D868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Report'!$AE$5:$AE$7</c:f>
              <c:strCache>
                <c:ptCount val="2"/>
                <c:pt idx="0">
                  <c:v>Female</c:v>
                </c:pt>
                <c:pt idx="1">
                  <c:v>Male</c:v>
                </c:pt>
              </c:strCache>
            </c:strRef>
          </c:cat>
          <c:val>
            <c:numRef>
              <c:f>'Pivot Report'!$AF$5:$AF$7</c:f>
              <c:numCache>
                <c:formatCode>General</c:formatCode>
                <c:ptCount val="2"/>
                <c:pt idx="0">
                  <c:v>239</c:v>
                </c:pt>
                <c:pt idx="1">
                  <c:v>246</c:v>
                </c:pt>
              </c:numCache>
            </c:numRef>
          </c:val>
          <c:extLst>
            <c:ext xmlns:c16="http://schemas.microsoft.com/office/drawing/2014/chart" uri="{C3380CC4-5D6E-409C-BE32-E72D297353CC}">
              <c16:uniqueId val="{00000004-FF9D-497A-96B5-711DCE0D8680}"/>
            </c:ext>
          </c:extLst>
        </c:ser>
        <c:dLbls>
          <c:showLegendKey val="0"/>
          <c:showVal val="0"/>
          <c:showCatName val="0"/>
          <c:showSerName val="0"/>
          <c:showPercent val="1"/>
          <c:showBubbleSize val="0"/>
          <c:showLeaderLines val="1"/>
        </c:dLbls>
        <c:firstSliceAng val="0"/>
        <c:holeSize val="42"/>
      </c:doughnut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1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Report'!$AK$4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Report'!$AJ$5:$AJ$13</c:f>
              <c:strCache>
                <c:ptCount val="8"/>
                <c:pt idx="0">
                  <c:v>None</c:v>
                </c:pt>
                <c:pt idx="1">
                  <c:v>General Practice</c:v>
                </c:pt>
                <c:pt idx="2">
                  <c:v>Orthopedics</c:v>
                </c:pt>
                <c:pt idx="3">
                  <c:v>Cardiology</c:v>
                </c:pt>
                <c:pt idx="4">
                  <c:v>Gastroenterology</c:v>
                </c:pt>
                <c:pt idx="5">
                  <c:v>Neurology</c:v>
                </c:pt>
                <c:pt idx="6">
                  <c:v>Physiotherapy</c:v>
                </c:pt>
                <c:pt idx="7">
                  <c:v>Renal</c:v>
                </c:pt>
              </c:strCache>
            </c:strRef>
          </c:cat>
          <c:val>
            <c:numRef>
              <c:f>'Pivot Report'!$AK$5:$AK$13</c:f>
              <c:numCache>
                <c:formatCode>General</c:formatCode>
                <c:ptCount val="8"/>
                <c:pt idx="0">
                  <c:v>291</c:v>
                </c:pt>
                <c:pt idx="1">
                  <c:v>91</c:v>
                </c:pt>
                <c:pt idx="2">
                  <c:v>53</c:v>
                </c:pt>
                <c:pt idx="3">
                  <c:v>13</c:v>
                </c:pt>
                <c:pt idx="4">
                  <c:v>12</c:v>
                </c:pt>
                <c:pt idx="5">
                  <c:v>12</c:v>
                </c:pt>
                <c:pt idx="6">
                  <c:v>11</c:v>
                </c:pt>
                <c:pt idx="7">
                  <c:v>2</c:v>
                </c:pt>
              </c:numCache>
            </c:numRef>
          </c:val>
          <c:extLst>
            <c:ext xmlns:c16="http://schemas.microsoft.com/office/drawing/2014/chart" uri="{C3380CC4-5D6E-409C-BE32-E72D297353CC}">
              <c16:uniqueId val="{00000000-E5B7-4BD5-96A1-8C081A21DAC7}"/>
            </c:ext>
          </c:extLst>
        </c:ser>
        <c:dLbls>
          <c:showLegendKey val="0"/>
          <c:showVal val="0"/>
          <c:showCatName val="0"/>
          <c:showSerName val="0"/>
          <c:showPercent val="0"/>
          <c:showBubbleSize val="0"/>
        </c:dLbls>
        <c:gapWidth val="110"/>
        <c:axId val="481014848"/>
        <c:axId val="481023008"/>
      </c:barChart>
      <c:catAx>
        <c:axId val="48101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23008"/>
        <c:crosses val="autoZero"/>
        <c:auto val="1"/>
        <c:lblAlgn val="ctr"/>
        <c:lblOffset val="100"/>
        <c:noMultiLvlLbl val="0"/>
      </c:catAx>
      <c:valAx>
        <c:axId val="481023008"/>
        <c:scaling>
          <c:orientation val="minMax"/>
        </c:scaling>
        <c:delete val="1"/>
        <c:axPos val="b"/>
        <c:numFmt formatCode="General" sourceLinked="1"/>
        <c:majorTickMark val="none"/>
        <c:minorTickMark val="none"/>
        <c:tickLblPos val="nextTo"/>
        <c:crossAx val="4810148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Report'!$O$6</c:f>
              <c:strCache>
                <c:ptCount val="1"/>
                <c:pt idx="0">
                  <c:v>Total</c:v>
                </c:pt>
              </c:strCache>
            </c:strRef>
          </c:tx>
          <c:spPr>
            <a:solidFill>
              <a:schemeClr val="accent1"/>
            </a:solidFill>
            <a:ln>
              <a:noFill/>
            </a:ln>
            <a:effectLst/>
          </c:spPr>
          <c:cat>
            <c:strRef>
              <c:f>'Pivot Report'!$N$7:$N$305</c:f>
              <c:strCache>
                <c:ptCount val="298"/>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2-Apr</c:v>
                </c:pt>
                <c:pt idx="91">
                  <c:v>3-Apr</c:v>
                </c:pt>
                <c:pt idx="92">
                  <c:v>4-Apr</c:v>
                </c:pt>
                <c:pt idx="93">
                  <c:v>5-Apr</c:v>
                </c:pt>
                <c:pt idx="94">
                  <c:v>6-Apr</c:v>
                </c:pt>
                <c:pt idx="95">
                  <c:v>7-Apr</c:v>
                </c:pt>
                <c:pt idx="96">
                  <c:v>8-Apr</c:v>
                </c:pt>
                <c:pt idx="97">
                  <c:v>9-Apr</c:v>
                </c:pt>
                <c:pt idx="98">
                  <c:v>11-Apr</c:v>
                </c:pt>
                <c:pt idx="99">
                  <c:v>12-Apr</c:v>
                </c:pt>
                <c:pt idx="100">
                  <c:v>13-Apr</c:v>
                </c:pt>
                <c:pt idx="101">
                  <c:v>14-Apr</c:v>
                </c:pt>
                <c:pt idx="102">
                  <c:v>15-Apr</c:v>
                </c:pt>
                <c:pt idx="103">
                  <c:v>16-Apr</c:v>
                </c:pt>
                <c:pt idx="104">
                  <c:v>17-Apr</c:v>
                </c:pt>
                <c:pt idx="105">
                  <c:v>18-Apr</c:v>
                </c:pt>
                <c:pt idx="106">
                  <c:v>19-Apr</c:v>
                </c:pt>
                <c:pt idx="107">
                  <c:v>20-Apr</c:v>
                </c:pt>
                <c:pt idx="108">
                  <c:v>22-Apr</c:v>
                </c:pt>
                <c:pt idx="109">
                  <c:v>23-Apr</c:v>
                </c:pt>
                <c:pt idx="110">
                  <c:v>24-Apr</c:v>
                </c:pt>
                <c:pt idx="111">
                  <c:v>25-Apr</c:v>
                </c:pt>
                <c:pt idx="112">
                  <c:v>26-Apr</c:v>
                </c:pt>
                <c:pt idx="113">
                  <c:v>27-Apr</c:v>
                </c:pt>
                <c:pt idx="114">
                  <c:v>28-Apr</c:v>
                </c:pt>
                <c:pt idx="115">
                  <c:v>29-Apr</c:v>
                </c:pt>
                <c:pt idx="116">
                  <c:v>30-Apr</c:v>
                </c:pt>
                <c:pt idx="117">
                  <c:v>1-May</c:v>
                </c:pt>
                <c:pt idx="118">
                  <c:v>2-May</c:v>
                </c:pt>
                <c:pt idx="119">
                  <c:v>3-May</c:v>
                </c:pt>
                <c:pt idx="120">
                  <c:v>4-May</c:v>
                </c:pt>
                <c:pt idx="121">
                  <c:v>5-May</c:v>
                </c:pt>
                <c:pt idx="122">
                  <c:v>6-May</c:v>
                </c:pt>
                <c:pt idx="123">
                  <c:v>7-May</c:v>
                </c:pt>
                <c:pt idx="124">
                  <c:v>8-May</c:v>
                </c:pt>
                <c:pt idx="125">
                  <c:v>9-May</c:v>
                </c:pt>
                <c:pt idx="126">
                  <c:v>10-May</c:v>
                </c:pt>
                <c:pt idx="127">
                  <c:v>11-May</c:v>
                </c:pt>
                <c:pt idx="128">
                  <c:v>12-May</c:v>
                </c:pt>
                <c:pt idx="129">
                  <c:v>13-May</c:v>
                </c:pt>
                <c:pt idx="130">
                  <c:v>14-May</c:v>
                </c:pt>
                <c:pt idx="131">
                  <c:v>15-May</c:v>
                </c:pt>
                <c:pt idx="132">
                  <c:v>16-May</c:v>
                </c:pt>
                <c:pt idx="133">
                  <c:v>17-May</c:v>
                </c:pt>
                <c:pt idx="134">
                  <c:v>18-May</c:v>
                </c:pt>
                <c:pt idx="135">
                  <c:v>19-May</c:v>
                </c:pt>
                <c:pt idx="136">
                  <c:v>20-May</c:v>
                </c:pt>
                <c:pt idx="137">
                  <c:v>21-May</c:v>
                </c:pt>
                <c:pt idx="138">
                  <c:v>22-May</c:v>
                </c:pt>
                <c:pt idx="139">
                  <c:v>23-May</c:v>
                </c:pt>
                <c:pt idx="140">
                  <c:v>24-May</c:v>
                </c:pt>
                <c:pt idx="141">
                  <c:v>25-May</c:v>
                </c:pt>
                <c:pt idx="142">
                  <c:v>26-May</c:v>
                </c:pt>
                <c:pt idx="143">
                  <c:v>27-May</c:v>
                </c:pt>
                <c:pt idx="144">
                  <c:v>28-May</c:v>
                </c:pt>
                <c:pt idx="145">
                  <c:v>29-May</c:v>
                </c:pt>
                <c:pt idx="146">
                  <c:v>30-May</c:v>
                </c:pt>
                <c:pt idx="147">
                  <c:v>31-May</c:v>
                </c:pt>
                <c:pt idx="148">
                  <c:v>1-Jun</c:v>
                </c:pt>
                <c:pt idx="149">
                  <c:v>2-Jun</c:v>
                </c:pt>
                <c:pt idx="150">
                  <c:v>3-Jun</c:v>
                </c:pt>
                <c:pt idx="151">
                  <c:v>4-Jun</c:v>
                </c:pt>
                <c:pt idx="152">
                  <c:v>5-Jun</c:v>
                </c:pt>
                <c:pt idx="153">
                  <c:v>6-Jun</c:v>
                </c:pt>
                <c:pt idx="154">
                  <c:v>7-Jun</c:v>
                </c:pt>
                <c:pt idx="155">
                  <c:v>8-Jun</c:v>
                </c:pt>
                <c:pt idx="156">
                  <c:v>9-Jun</c:v>
                </c:pt>
                <c:pt idx="157">
                  <c:v>10-Jun</c:v>
                </c:pt>
                <c:pt idx="158">
                  <c:v>11-Jun</c:v>
                </c:pt>
                <c:pt idx="159">
                  <c:v>12-Jun</c:v>
                </c:pt>
                <c:pt idx="160">
                  <c:v>13-Jun</c:v>
                </c:pt>
                <c:pt idx="161">
                  <c:v>14-Jun</c:v>
                </c:pt>
                <c:pt idx="162">
                  <c:v>15-Jun</c:v>
                </c:pt>
                <c:pt idx="163">
                  <c:v>16-Jun</c:v>
                </c:pt>
                <c:pt idx="164">
                  <c:v>17-Jun</c:v>
                </c:pt>
                <c:pt idx="165">
                  <c:v>18-Jun</c:v>
                </c:pt>
                <c:pt idx="166">
                  <c:v>19-Jun</c:v>
                </c:pt>
                <c:pt idx="167">
                  <c:v>20-Jun</c:v>
                </c:pt>
                <c:pt idx="168">
                  <c:v>21-Jun</c:v>
                </c:pt>
                <c:pt idx="169">
                  <c:v>22-Jun</c:v>
                </c:pt>
                <c:pt idx="170">
                  <c:v>23-Jun</c:v>
                </c:pt>
                <c:pt idx="171">
                  <c:v>24-Jun</c:v>
                </c:pt>
                <c:pt idx="172">
                  <c:v>25-Jun</c:v>
                </c:pt>
                <c:pt idx="173">
                  <c:v>26-Jun</c:v>
                </c:pt>
                <c:pt idx="174">
                  <c:v>27-Jun</c:v>
                </c:pt>
                <c:pt idx="175">
                  <c:v>28-Jun</c:v>
                </c:pt>
                <c:pt idx="176">
                  <c:v>29-Jun</c:v>
                </c:pt>
                <c:pt idx="177">
                  <c:v>30-Jun</c:v>
                </c:pt>
                <c:pt idx="178">
                  <c:v>1-Jul</c:v>
                </c:pt>
                <c:pt idx="179">
                  <c:v>2-Jul</c:v>
                </c:pt>
                <c:pt idx="180">
                  <c:v>3-Jul</c:v>
                </c:pt>
                <c:pt idx="181">
                  <c:v>4-Jul</c:v>
                </c:pt>
                <c:pt idx="182">
                  <c:v>5-Jul</c:v>
                </c:pt>
                <c:pt idx="183">
                  <c:v>6-Jul</c:v>
                </c:pt>
                <c:pt idx="184">
                  <c:v>7-Jul</c:v>
                </c:pt>
                <c:pt idx="185">
                  <c:v>8-Jul</c:v>
                </c:pt>
                <c:pt idx="186">
                  <c:v>9-Jul</c:v>
                </c:pt>
                <c:pt idx="187">
                  <c:v>10-Jul</c:v>
                </c:pt>
                <c:pt idx="188">
                  <c:v>11-Jul</c:v>
                </c:pt>
                <c:pt idx="189">
                  <c:v>12-Jul</c:v>
                </c:pt>
                <c:pt idx="190">
                  <c:v>13-Jul</c:v>
                </c:pt>
                <c:pt idx="191">
                  <c:v>14-Jul</c:v>
                </c:pt>
                <c:pt idx="192">
                  <c:v>15-Jul</c:v>
                </c:pt>
                <c:pt idx="193">
                  <c:v>16-Jul</c:v>
                </c:pt>
                <c:pt idx="194">
                  <c:v>17-Jul</c:v>
                </c:pt>
                <c:pt idx="195">
                  <c:v>18-Jul</c:v>
                </c:pt>
                <c:pt idx="196">
                  <c:v>19-Jul</c:v>
                </c:pt>
                <c:pt idx="197">
                  <c:v>20-Jul</c:v>
                </c:pt>
                <c:pt idx="198">
                  <c:v>21-Jul</c:v>
                </c:pt>
                <c:pt idx="199">
                  <c:v>22-Jul</c:v>
                </c:pt>
                <c:pt idx="200">
                  <c:v>23-Jul</c:v>
                </c:pt>
                <c:pt idx="201">
                  <c:v>24-Jul</c:v>
                </c:pt>
                <c:pt idx="202">
                  <c:v>25-Jul</c:v>
                </c:pt>
                <c:pt idx="203">
                  <c:v>26-Jul</c:v>
                </c:pt>
                <c:pt idx="204">
                  <c:v>27-Jul</c:v>
                </c:pt>
                <c:pt idx="205">
                  <c:v>28-Jul</c:v>
                </c:pt>
                <c:pt idx="206">
                  <c:v>29-Jul</c:v>
                </c:pt>
                <c:pt idx="207">
                  <c:v>30-Jul</c:v>
                </c:pt>
                <c:pt idx="208">
                  <c:v>31-Jul</c:v>
                </c:pt>
                <c:pt idx="209">
                  <c:v>1-Aug</c:v>
                </c:pt>
                <c:pt idx="210">
                  <c:v>2-Aug</c:v>
                </c:pt>
                <c:pt idx="211">
                  <c:v>3-Aug</c:v>
                </c:pt>
                <c:pt idx="212">
                  <c:v>4-Aug</c:v>
                </c:pt>
                <c:pt idx="213">
                  <c:v>5-Aug</c:v>
                </c:pt>
                <c:pt idx="214">
                  <c:v>6-Aug</c:v>
                </c:pt>
                <c:pt idx="215">
                  <c:v>8-Aug</c:v>
                </c:pt>
                <c:pt idx="216">
                  <c:v>9-Aug</c:v>
                </c:pt>
                <c:pt idx="217">
                  <c:v>10-Aug</c:v>
                </c:pt>
                <c:pt idx="218">
                  <c:v>11-Aug</c:v>
                </c:pt>
                <c:pt idx="219">
                  <c:v>12-Aug</c:v>
                </c:pt>
                <c:pt idx="220">
                  <c:v>13-Aug</c:v>
                </c:pt>
                <c:pt idx="221">
                  <c:v>14-Aug</c:v>
                </c:pt>
                <c:pt idx="222">
                  <c:v>15-Aug</c:v>
                </c:pt>
                <c:pt idx="223">
                  <c:v>16-Aug</c:v>
                </c:pt>
                <c:pt idx="224">
                  <c:v>17-Aug</c:v>
                </c:pt>
                <c:pt idx="225">
                  <c:v>18-Aug</c:v>
                </c:pt>
                <c:pt idx="226">
                  <c:v>19-Aug</c:v>
                </c:pt>
                <c:pt idx="227">
                  <c:v>20-Aug</c:v>
                </c:pt>
                <c:pt idx="228">
                  <c:v>21-Aug</c:v>
                </c:pt>
                <c:pt idx="229">
                  <c:v>22-Aug</c:v>
                </c:pt>
                <c:pt idx="230">
                  <c:v>23-Aug</c:v>
                </c:pt>
                <c:pt idx="231">
                  <c:v>24-Aug</c:v>
                </c:pt>
                <c:pt idx="232">
                  <c:v>25-Aug</c:v>
                </c:pt>
                <c:pt idx="233">
                  <c:v>26-Aug</c:v>
                </c:pt>
                <c:pt idx="234">
                  <c:v>27-Aug</c:v>
                </c:pt>
                <c:pt idx="235">
                  <c:v>28-Aug</c:v>
                </c:pt>
                <c:pt idx="236">
                  <c:v>29-Aug</c:v>
                </c:pt>
                <c:pt idx="237">
                  <c:v>30-Aug</c:v>
                </c:pt>
                <c:pt idx="238">
                  <c:v>31-Aug</c:v>
                </c:pt>
                <c:pt idx="239">
                  <c:v>1-Sep</c:v>
                </c:pt>
                <c:pt idx="240">
                  <c:v>2-Sep</c:v>
                </c:pt>
                <c:pt idx="241">
                  <c:v>3-Sep</c:v>
                </c:pt>
                <c:pt idx="242">
                  <c:v>4-Sep</c:v>
                </c:pt>
                <c:pt idx="243">
                  <c:v>5-Sep</c:v>
                </c:pt>
                <c:pt idx="244">
                  <c:v>6-Sep</c:v>
                </c:pt>
                <c:pt idx="245">
                  <c:v>7-Sep</c:v>
                </c:pt>
                <c:pt idx="246">
                  <c:v>8-Sep</c:v>
                </c:pt>
                <c:pt idx="247">
                  <c:v>9-Sep</c:v>
                </c:pt>
                <c:pt idx="248">
                  <c:v>10-Sep</c:v>
                </c:pt>
                <c:pt idx="249">
                  <c:v>11-Sep</c:v>
                </c:pt>
                <c:pt idx="250">
                  <c:v>12-Sep</c:v>
                </c:pt>
                <c:pt idx="251">
                  <c:v>13-Sep</c:v>
                </c:pt>
                <c:pt idx="252">
                  <c:v>14-Sep</c:v>
                </c:pt>
                <c:pt idx="253">
                  <c:v>15-Sep</c:v>
                </c:pt>
                <c:pt idx="254">
                  <c:v>16-Sep</c:v>
                </c:pt>
                <c:pt idx="255">
                  <c:v>17-Sep</c:v>
                </c:pt>
                <c:pt idx="256">
                  <c:v>18-Sep</c:v>
                </c:pt>
                <c:pt idx="257">
                  <c:v>19-Sep</c:v>
                </c:pt>
                <c:pt idx="258">
                  <c:v>20-Sep</c:v>
                </c:pt>
                <c:pt idx="259">
                  <c:v>21-Sep</c:v>
                </c:pt>
                <c:pt idx="260">
                  <c:v>23-Sep</c:v>
                </c:pt>
                <c:pt idx="261">
                  <c:v>24-Sep</c:v>
                </c:pt>
                <c:pt idx="262">
                  <c:v>25-Sep</c:v>
                </c:pt>
                <c:pt idx="263">
                  <c:v>26-Sep</c:v>
                </c:pt>
                <c:pt idx="264">
                  <c:v>27-Sep</c:v>
                </c:pt>
                <c:pt idx="265">
                  <c:v>28-Sep</c:v>
                </c:pt>
                <c:pt idx="266">
                  <c:v>29-Sep</c:v>
                </c:pt>
                <c:pt idx="267">
                  <c:v>30-Sep</c:v>
                </c:pt>
                <c:pt idx="268">
                  <c:v>1-Oct</c:v>
                </c:pt>
                <c:pt idx="269">
                  <c:v>2-Oct</c:v>
                </c:pt>
                <c:pt idx="270">
                  <c:v>3-Oct</c:v>
                </c:pt>
                <c:pt idx="271">
                  <c:v>4-Oct</c:v>
                </c:pt>
                <c:pt idx="272">
                  <c:v>5-Oct</c:v>
                </c:pt>
                <c:pt idx="273">
                  <c:v>6-Oct</c:v>
                </c:pt>
                <c:pt idx="274">
                  <c:v>7-Oct</c:v>
                </c:pt>
                <c:pt idx="275">
                  <c:v>8-Oct</c:v>
                </c:pt>
                <c:pt idx="276">
                  <c:v>9-Oct</c:v>
                </c:pt>
                <c:pt idx="277">
                  <c:v>10-Oct</c:v>
                </c:pt>
                <c:pt idx="278">
                  <c:v>11-Oct</c:v>
                </c:pt>
                <c:pt idx="279">
                  <c:v>12-Oct</c:v>
                </c:pt>
                <c:pt idx="280">
                  <c:v>13-Oct</c:v>
                </c:pt>
                <c:pt idx="281">
                  <c:v>14-Oct</c:v>
                </c:pt>
                <c:pt idx="282">
                  <c:v>15-Oct</c:v>
                </c:pt>
                <c:pt idx="283">
                  <c:v>16-Oct</c:v>
                </c:pt>
                <c:pt idx="284">
                  <c:v>17-Oct</c:v>
                </c:pt>
                <c:pt idx="285">
                  <c:v>18-Oct</c:v>
                </c:pt>
                <c:pt idx="286">
                  <c:v>19-Oct</c:v>
                </c:pt>
                <c:pt idx="287">
                  <c:v>20-Oct</c:v>
                </c:pt>
                <c:pt idx="288">
                  <c:v>21-Oct</c:v>
                </c:pt>
                <c:pt idx="289">
                  <c:v>22-Oct</c:v>
                </c:pt>
                <c:pt idx="290">
                  <c:v>23-Oct</c:v>
                </c:pt>
                <c:pt idx="291">
                  <c:v>24-Oct</c:v>
                </c:pt>
                <c:pt idx="292">
                  <c:v>25-Oct</c:v>
                </c:pt>
                <c:pt idx="293">
                  <c:v>26-Oct</c:v>
                </c:pt>
                <c:pt idx="294">
                  <c:v>27-Oct</c:v>
                </c:pt>
                <c:pt idx="295">
                  <c:v>28-Oct</c:v>
                </c:pt>
                <c:pt idx="296">
                  <c:v>29-Oct</c:v>
                </c:pt>
                <c:pt idx="297">
                  <c:v>30-Oct</c:v>
                </c:pt>
              </c:strCache>
            </c:strRef>
          </c:cat>
          <c:val>
            <c:numRef>
              <c:f>'Pivot Report'!$O$7:$O$305</c:f>
              <c:numCache>
                <c:formatCode>0.00</c:formatCode>
                <c:ptCount val="298"/>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4.5999999999999996</c:v>
                </c:pt>
                <c:pt idx="91">
                  <c:v>4.5999999999999996</c:v>
                </c:pt>
                <c:pt idx="92">
                  <c:v>5.666666666666667</c:v>
                </c:pt>
                <c:pt idx="93">
                  <c:v>3.4</c:v>
                </c:pt>
                <c:pt idx="94">
                  <c:v>4.333333333333333</c:v>
                </c:pt>
                <c:pt idx="95">
                  <c:v>4.4000000000000004</c:v>
                </c:pt>
                <c:pt idx="96">
                  <c:v>4.25</c:v>
                </c:pt>
                <c:pt idx="97">
                  <c:v>4.5999999999999996</c:v>
                </c:pt>
                <c:pt idx="98">
                  <c:v>2.3333333333333335</c:v>
                </c:pt>
                <c:pt idx="99">
                  <c:v>9</c:v>
                </c:pt>
                <c:pt idx="100">
                  <c:v>2.75</c:v>
                </c:pt>
                <c:pt idx="101">
                  <c:v>6.8888888888888893</c:v>
                </c:pt>
                <c:pt idx="102">
                  <c:v>5</c:v>
                </c:pt>
                <c:pt idx="103">
                  <c:v>4.166666666666667</c:v>
                </c:pt>
                <c:pt idx="104">
                  <c:v>2.5</c:v>
                </c:pt>
                <c:pt idx="105">
                  <c:v>6</c:v>
                </c:pt>
                <c:pt idx="106">
                  <c:v>3.8</c:v>
                </c:pt>
                <c:pt idx="107">
                  <c:v>3.6</c:v>
                </c:pt>
                <c:pt idx="108">
                  <c:v>5.8571428571428568</c:v>
                </c:pt>
                <c:pt idx="109">
                  <c:v>6.25</c:v>
                </c:pt>
                <c:pt idx="110">
                  <c:v>4.666666666666667</c:v>
                </c:pt>
                <c:pt idx="111">
                  <c:v>0</c:v>
                </c:pt>
                <c:pt idx="112">
                  <c:v>4.666666666666667</c:v>
                </c:pt>
                <c:pt idx="113">
                  <c:v>2.8</c:v>
                </c:pt>
                <c:pt idx="114">
                  <c:v>4.2</c:v>
                </c:pt>
                <c:pt idx="115">
                  <c:v>2.5</c:v>
                </c:pt>
                <c:pt idx="116">
                  <c:v>5</c:v>
                </c:pt>
                <c:pt idx="117">
                  <c:v>7.4</c:v>
                </c:pt>
                <c:pt idx="118">
                  <c:v>5.6</c:v>
                </c:pt>
                <c:pt idx="119">
                  <c:v>6.7142857142857144</c:v>
                </c:pt>
                <c:pt idx="120">
                  <c:v>6</c:v>
                </c:pt>
                <c:pt idx="121">
                  <c:v>4</c:v>
                </c:pt>
                <c:pt idx="122">
                  <c:v>4.7142857142857144</c:v>
                </c:pt>
                <c:pt idx="123">
                  <c:v>1.8</c:v>
                </c:pt>
                <c:pt idx="124">
                  <c:v>4.833333333333333</c:v>
                </c:pt>
                <c:pt idx="125">
                  <c:v>4.25</c:v>
                </c:pt>
                <c:pt idx="126">
                  <c:v>4.5999999999999996</c:v>
                </c:pt>
                <c:pt idx="127">
                  <c:v>6.5</c:v>
                </c:pt>
                <c:pt idx="128">
                  <c:v>5</c:v>
                </c:pt>
                <c:pt idx="129">
                  <c:v>6</c:v>
                </c:pt>
                <c:pt idx="130">
                  <c:v>4.7142857142857144</c:v>
                </c:pt>
                <c:pt idx="131">
                  <c:v>4.2</c:v>
                </c:pt>
                <c:pt idx="132">
                  <c:v>7.2</c:v>
                </c:pt>
                <c:pt idx="133">
                  <c:v>4.333333333333333</c:v>
                </c:pt>
                <c:pt idx="134">
                  <c:v>3.7777777777777777</c:v>
                </c:pt>
                <c:pt idx="135">
                  <c:v>3.6666666666666665</c:v>
                </c:pt>
                <c:pt idx="136">
                  <c:v>4</c:v>
                </c:pt>
                <c:pt idx="137">
                  <c:v>5.833333333333333</c:v>
                </c:pt>
                <c:pt idx="138">
                  <c:v>5.666666666666667</c:v>
                </c:pt>
                <c:pt idx="139">
                  <c:v>5.5</c:v>
                </c:pt>
                <c:pt idx="140">
                  <c:v>5.5</c:v>
                </c:pt>
                <c:pt idx="141">
                  <c:v>7</c:v>
                </c:pt>
                <c:pt idx="142">
                  <c:v>7</c:v>
                </c:pt>
                <c:pt idx="143">
                  <c:v>4</c:v>
                </c:pt>
                <c:pt idx="144">
                  <c:v>4.4444444444444446</c:v>
                </c:pt>
                <c:pt idx="145">
                  <c:v>4.8571428571428568</c:v>
                </c:pt>
                <c:pt idx="146">
                  <c:v>5.5714285714285712</c:v>
                </c:pt>
                <c:pt idx="147">
                  <c:v>6</c:v>
                </c:pt>
                <c:pt idx="148">
                  <c:v>4.75</c:v>
                </c:pt>
                <c:pt idx="149">
                  <c:v>5.2</c:v>
                </c:pt>
                <c:pt idx="150">
                  <c:v>3.375</c:v>
                </c:pt>
                <c:pt idx="151">
                  <c:v>5.8</c:v>
                </c:pt>
                <c:pt idx="152">
                  <c:v>4.375</c:v>
                </c:pt>
                <c:pt idx="153">
                  <c:v>3</c:v>
                </c:pt>
                <c:pt idx="154">
                  <c:v>5</c:v>
                </c:pt>
                <c:pt idx="155">
                  <c:v>3</c:v>
                </c:pt>
                <c:pt idx="156">
                  <c:v>4.9090909090909092</c:v>
                </c:pt>
                <c:pt idx="157">
                  <c:v>3.8333333333333335</c:v>
                </c:pt>
                <c:pt idx="158">
                  <c:v>3.875</c:v>
                </c:pt>
                <c:pt idx="159">
                  <c:v>4.333333333333333</c:v>
                </c:pt>
                <c:pt idx="160">
                  <c:v>3.5</c:v>
                </c:pt>
                <c:pt idx="161">
                  <c:v>5.4</c:v>
                </c:pt>
                <c:pt idx="162">
                  <c:v>5.375</c:v>
                </c:pt>
                <c:pt idx="163">
                  <c:v>3.3333333333333335</c:v>
                </c:pt>
                <c:pt idx="164">
                  <c:v>6.2</c:v>
                </c:pt>
                <c:pt idx="165">
                  <c:v>1.6666666666666667</c:v>
                </c:pt>
                <c:pt idx="166">
                  <c:v>4.5</c:v>
                </c:pt>
                <c:pt idx="167">
                  <c:v>7.666666666666667</c:v>
                </c:pt>
                <c:pt idx="168">
                  <c:v>4.4000000000000004</c:v>
                </c:pt>
                <c:pt idx="169">
                  <c:v>6.5</c:v>
                </c:pt>
                <c:pt idx="170">
                  <c:v>5</c:v>
                </c:pt>
                <c:pt idx="171">
                  <c:v>5.25</c:v>
                </c:pt>
                <c:pt idx="172">
                  <c:v>4.75</c:v>
                </c:pt>
                <c:pt idx="173">
                  <c:v>5</c:v>
                </c:pt>
                <c:pt idx="174">
                  <c:v>4</c:v>
                </c:pt>
                <c:pt idx="175">
                  <c:v>5.333333333333333</c:v>
                </c:pt>
                <c:pt idx="176">
                  <c:v>6</c:v>
                </c:pt>
                <c:pt idx="177">
                  <c:v>6.333333333333333</c:v>
                </c:pt>
                <c:pt idx="178">
                  <c:v>4.125</c:v>
                </c:pt>
                <c:pt idx="179">
                  <c:v>5.333333333333333</c:v>
                </c:pt>
                <c:pt idx="180">
                  <c:v>4.75</c:v>
                </c:pt>
                <c:pt idx="181">
                  <c:v>2</c:v>
                </c:pt>
                <c:pt idx="182">
                  <c:v>8</c:v>
                </c:pt>
                <c:pt idx="183">
                  <c:v>3.5</c:v>
                </c:pt>
                <c:pt idx="184">
                  <c:v>7</c:v>
                </c:pt>
                <c:pt idx="185">
                  <c:v>3.5</c:v>
                </c:pt>
                <c:pt idx="186">
                  <c:v>6.4</c:v>
                </c:pt>
                <c:pt idx="187">
                  <c:v>3.5</c:v>
                </c:pt>
                <c:pt idx="188">
                  <c:v>6.5</c:v>
                </c:pt>
                <c:pt idx="189">
                  <c:v>5.2857142857142856</c:v>
                </c:pt>
                <c:pt idx="190">
                  <c:v>4.333333333333333</c:v>
                </c:pt>
                <c:pt idx="191">
                  <c:v>3</c:v>
                </c:pt>
                <c:pt idx="192">
                  <c:v>4.333333333333333</c:v>
                </c:pt>
                <c:pt idx="193">
                  <c:v>3.3333333333333335</c:v>
                </c:pt>
                <c:pt idx="194">
                  <c:v>2.5714285714285716</c:v>
                </c:pt>
                <c:pt idx="195">
                  <c:v>3.75</c:v>
                </c:pt>
                <c:pt idx="196">
                  <c:v>8.3333333333333339</c:v>
                </c:pt>
                <c:pt idx="197">
                  <c:v>3.75</c:v>
                </c:pt>
                <c:pt idx="198">
                  <c:v>4.666666666666667</c:v>
                </c:pt>
                <c:pt idx="199">
                  <c:v>5</c:v>
                </c:pt>
                <c:pt idx="200">
                  <c:v>4.333333333333333</c:v>
                </c:pt>
                <c:pt idx="201">
                  <c:v>4.666666666666667</c:v>
                </c:pt>
                <c:pt idx="202">
                  <c:v>4.5</c:v>
                </c:pt>
                <c:pt idx="203">
                  <c:v>6</c:v>
                </c:pt>
                <c:pt idx="204">
                  <c:v>6.8888888888888893</c:v>
                </c:pt>
                <c:pt idx="205">
                  <c:v>6.5714285714285712</c:v>
                </c:pt>
                <c:pt idx="206">
                  <c:v>4.0999999999999996</c:v>
                </c:pt>
                <c:pt idx="207">
                  <c:v>5</c:v>
                </c:pt>
                <c:pt idx="208">
                  <c:v>5.4</c:v>
                </c:pt>
                <c:pt idx="209">
                  <c:v>4.5</c:v>
                </c:pt>
                <c:pt idx="210">
                  <c:v>4.666666666666667</c:v>
                </c:pt>
                <c:pt idx="211">
                  <c:v>7.4</c:v>
                </c:pt>
                <c:pt idx="212">
                  <c:v>4.5</c:v>
                </c:pt>
                <c:pt idx="213">
                  <c:v>4.8</c:v>
                </c:pt>
                <c:pt idx="214">
                  <c:v>4.75</c:v>
                </c:pt>
                <c:pt idx="215">
                  <c:v>2.25</c:v>
                </c:pt>
                <c:pt idx="216">
                  <c:v>4</c:v>
                </c:pt>
                <c:pt idx="217">
                  <c:v>6.666666666666667</c:v>
                </c:pt>
                <c:pt idx="218">
                  <c:v>2.6666666666666665</c:v>
                </c:pt>
                <c:pt idx="219">
                  <c:v>3.6666666666666665</c:v>
                </c:pt>
                <c:pt idx="220">
                  <c:v>4</c:v>
                </c:pt>
                <c:pt idx="221">
                  <c:v>7.5</c:v>
                </c:pt>
                <c:pt idx="222">
                  <c:v>5.5</c:v>
                </c:pt>
                <c:pt idx="223">
                  <c:v>7.5</c:v>
                </c:pt>
                <c:pt idx="224">
                  <c:v>5</c:v>
                </c:pt>
                <c:pt idx="225">
                  <c:v>3.5</c:v>
                </c:pt>
                <c:pt idx="226">
                  <c:v>6.5</c:v>
                </c:pt>
                <c:pt idx="227">
                  <c:v>5.833333333333333</c:v>
                </c:pt>
                <c:pt idx="228">
                  <c:v>4.5</c:v>
                </c:pt>
                <c:pt idx="229">
                  <c:v>3.75</c:v>
                </c:pt>
                <c:pt idx="230">
                  <c:v>10</c:v>
                </c:pt>
                <c:pt idx="231">
                  <c:v>4</c:v>
                </c:pt>
                <c:pt idx="232">
                  <c:v>8.3333333333333339</c:v>
                </c:pt>
                <c:pt idx="233">
                  <c:v>3.25</c:v>
                </c:pt>
                <c:pt idx="234">
                  <c:v>6</c:v>
                </c:pt>
                <c:pt idx="235">
                  <c:v>6</c:v>
                </c:pt>
                <c:pt idx="236">
                  <c:v>3.3333333333333335</c:v>
                </c:pt>
                <c:pt idx="237">
                  <c:v>6.666666666666667</c:v>
                </c:pt>
                <c:pt idx="238">
                  <c:v>5.625</c:v>
                </c:pt>
                <c:pt idx="239">
                  <c:v>4.2857142857142856</c:v>
                </c:pt>
                <c:pt idx="240">
                  <c:v>2.6666666666666665</c:v>
                </c:pt>
                <c:pt idx="241">
                  <c:v>3.8571428571428572</c:v>
                </c:pt>
                <c:pt idx="242">
                  <c:v>5.6</c:v>
                </c:pt>
                <c:pt idx="243">
                  <c:v>7</c:v>
                </c:pt>
                <c:pt idx="244">
                  <c:v>4</c:v>
                </c:pt>
                <c:pt idx="245">
                  <c:v>3.2</c:v>
                </c:pt>
                <c:pt idx="246">
                  <c:v>5.5</c:v>
                </c:pt>
                <c:pt idx="247">
                  <c:v>5</c:v>
                </c:pt>
                <c:pt idx="248">
                  <c:v>7</c:v>
                </c:pt>
                <c:pt idx="249">
                  <c:v>6</c:v>
                </c:pt>
                <c:pt idx="250">
                  <c:v>6.5</c:v>
                </c:pt>
                <c:pt idx="251">
                  <c:v>3.5</c:v>
                </c:pt>
                <c:pt idx="252">
                  <c:v>5.4</c:v>
                </c:pt>
                <c:pt idx="253">
                  <c:v>5</c:v>
                </c:pt>
                <c:pt idx="254">
                  <c:v>4.4000000000000004</c:v>
                </c:pt>
                <c:pt idx="255">
                  <c:v>6.75</c:v>
                </c:pt>
                <c:pt idx="256">
                  <c:v>7</c:v>
                </c:pt>
                <c:pt idx="257">
                  <c:v>4.666666666666667</c:v>
                </c:pt>
                <c:pt idx="258">
                  <c:v>3</c:v>
                </c:pt>
                <c:pt idx="259">
                  <c:v>3.4285714285714284</c:v>
                </c:pt>
                <c:pt idx="260">
                  <c:v>2.3333333333333335</c:v>
                </c:pt>
                <c:pt idx="261">
                  <c:v>6</c:v>
                </c:pt>
                <c:pt idx="262">
                  <c:v>5.8</c:v>
                </c:pt>
                <c:pt idx="263">
                  <c:v>5</c:v>
                </c:pt>
                <c:pt idx="264">
                  <c:v>2</c:v>
                </c:pt>
                <c:pt idx="265">
                  <c:v>3</c:v>
                </c:pt>
                <c:pt idx="266">
                  <c:v>8.5</c:v>
                </c:pt>
                <c:pt idx="267">
                  <c:v>5.5714285714285712</c:v>
                </c:pt>
                <c:pt idx="268">
                  <c:v>4.8571428571428568</c:v>
                </c:pt>
                <c:pt idx="269">
                  <c:v>8</c:v>
                </c:pt>
                <c:pt idx="270">
                  <c:v>6</c:v>
                </c:pt>
                <c:pt idx="271">
                  <c:v>6.8</c:v>
                </c:pt>
                <c:pt idx="272">
                  <c:v>3.5</c:v>
                </c:pt>
                <c:pt idx="273">
                  <c:v>0.5</c:v>
                </c:pt>
                <c:pt idx="274">
                  <c:v>4</c:v>
                </c:pt>
                <c:pt idx="275">
                  <c:v>4.75</c:v>
                </c:pt>
                <c:pt idx="276">
                  <c:v>5</c:v>
                </c:pt>
                <c:pt idx="277">
                  <c:v>10</c:v>
                </c:pt>
                <c:pt idx="278">
                  <c:v>5.5</c:v>
                </c:pt>
                <c:pt idx="279">
                  <c:v>4</c:v>
                </c:pt>
                <c:pt idx="280">
                  <c:v>2.6666666666666665</c:v>
                </c:pt>
                <c:pt idx="281">
                  <c:v>5.1111111111111107</c:v>
                </c:pt>
                <c:pt idx="282">
                  <c:v>6.25</c:v>
                </c:pt>
                <c:pt idx="283">
                  <c:v>6.333333333333333</c:v>
                </c:pt>
                <c:pt idx="284">
                  <c:v>7.666666666666667</c:v>
                </c:pt>
                <c:pt idx="285">
                  <c:v>5.8</c:v>
                </c:pt>
                <c:pt idx="286">
                  <c:v>6.666666666666667</c:v>
                </c:pt>
                <c:pt idx="287">
                  <c:v>5.4444444444444446</c:v>
                </c:pt>
                <c:pt idx="288">
                  <c:v>4.4000000000000004</c:v>
                </c:pt>
                <c:pt idx="289">
                  <c:v>4.8</c:v>
                </c:pt>
                <c:pt idx="290">
                  <c:v>4</c:v>
                </c:pt>
                <c:pt idx="291">
                  <c:v>8.25</c:v>
                </c:pt>
                <c:pt idx="292">
                  <c:v>4.5</c:v>
                </c:pt>
                <c:pt idx="293">
                  <c:v>3.5</c:v>
                </c:pt>
                <c:pt idx="294">
                  <c:v>7</c:v>
                </c:pt>
                <c:pt idx="295">
                  <c:v>4.5</c:v>
                </c:pt>
                <c:pt idx="296">
                  <c:v>4.666666666666667</c:v>
                </c:pt>
                <c:pt idx="297">
                  <c:v>5.8</c:v>
                </c:pt>
              </c:numCache>
            </c:numRef>
          </c:val>
          <c:extLst>
            <c:ext xmlns:c16="http://schemas.microsoft.com/office/drawing/2014/chart" uri="{C3380CC4-5D6E-409C-BE32-E72D297353CC}">
              <c16:uniqueId val="{00000000-FD5A-48C3-ADFF-40901D76BC4E}"/>
            </c:ext>
          </c:extLst>
        </c:ser>
        <c:dLbls>
          <c:showLegendKey val="0"/>
          <c:showVal val="0"/>
          <c:showCatName val="0"/>
          <c:showSerName val="0"/>
          <c:showPercent val="0"/>
          <c:showBubbleSize val="0"/>
        </c:dLbls>
        <c:axId val="1583840111"/>
        <c:axId val="1583839151"/>
      </c:areaChart>
      <c:catAx>
        <c:axId val="158384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39151"/>
        <c:crosses val="autoZero"/>
        <c:auto val="1"/>
        <c:lblAlgn val="ctr"/>
        <c:lblOffset val="100"/>
        <c:noMultiLvlLbl val="0"/>
      </c:catAx>
      <c:valAx>
        <c:axId val="1583839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40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955003552732702E-2"/>
          <c:y val="9.7329854117072595E-2"/>
          <c:w val="0.93888888888888888"/>
          <c:h val="0.76310950714494019"/>
        </c:manualLayout>
      </c:layout>
      <c:areaChart>
        <c:grouping val="standard"/>
        <c:varyColors val="0"/>
        <c:ser>
          <c:idx val="0"/>
          <c:order val="0"/>
          <c:tx>
            <c:strRef>
              <c:f>'Pivot Report'!$J$7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Report'!$I$8:$I$312</c:f>
              <c:strCache>
                <c:ptCount val="304"/>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Report'!$J$8:$J$312</c:f>
              <c:numCache>
                <c:formatCode>0.00</c:formatCode>
                <c:ptCount val="304"/>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31.833333333333332</c:v>
                </c:pt>
                <c:pt idx="92">
                  <c:v>39.368421052631582</c:v>
                </c:pt>
                <c:pt idx="93">
                  <c:v>32.352941176470587</c:v>
                </c:pt>
                <c:pt idx="94">
                  <c:v>34.049999999999997</c:v>
                </c:pt>
                <c:pt idx="95">
                  <c:v>31.8</c:v>
                </c:pt>
                <c:pt idx="96">
                  <c:v>37.823529411764703</c:v>
                </c:pt>
                <c:pt idx="97">
                  <c:v>31.875</c:v>
                </c:pt>
                <c:pt idx="98">
                  <c:v>27.3</c:v>
                </c:pt>
                <c:pt idx="99">
                  <c:v>31.933333333333334</c:v>
                </c:pt>
                <c:pt idx="100">
                  <c:v>30.5</c:v>
                </c:pt>
                <c:pt idx="101">
                  <c:v>38.0625</c:v>
                </c:pt>
                <c:pt idx="102">
                  <c:v>36.333333333333336</c:v>
                </c:pt>
                <c:pt idx="103">
                  <c:v>27</c:v>
                </c:pt>
                <c:pt idx="104">
                  <c:v>37.46153846153846</c:v>
                </c:pt>
                <c:pt idx="105">
                  <c:v>39.25</c:v>
                </c:pt>
                <c:pt idx="106">
                  <c:v>33.647058823529413</c:v>
                </c:pt>
                <c:pt idx="107">
                  <c:v>42.2</c:v>
                </c:pt>
                <c:pt idx="108">
                  <c:v>33.3125</c:v>
                </c:pt>
                <c:pt idx="109">
                  <c:v>25.76923076923077</c:v>
                </c:pt>
                <c:pt idx="110">
                  <c:v>37.125</c:v>
                </c:pt>
                <c:pt idx="111">
                  <c:v>37</c:v>
                </c:pt>
                <c:pt idx="112">
                  <c:v>36.80952380952381</c:v>
                </c:pt>
                <c:pt idx="113">
                  <c:v>39.799999999999997</c:v>
                </c:pt>
                <c:pt idx="114">
                  <c:v>38</c:v>
                </c:pt>
                <c:pt idx="115">
                  <c:v>36.133333333333333</c:v>
                </c:pt>
                <c:pt idx="116">
                  <c:v>36.555555555555557</c:v>
                </c:pt>
                <c:pt idx="117">
                  <c:v>39.210526315789473</c:v>
                </c:pt>
                <c:pt idx="118">
                  <c:v>31.1875</c:v>
                </c:pt>
                <c:pt idx="119">
                  <c:v>35.153846153846153</c:v>
                </c:pt>
                <c:pt idx="120">
                  <c:v>34.25</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0-185E-420F-B10A-68A246603F84}"/>
            </c:ext>
          </c:extLst>
        </c:ser>
        <c:dLbls>
          <c:showLegendKey val="0"/>
          <c:showVal val="0"/>
          <c:showCatName val="0"/>
          <c:showSerName val="0"/>
          <c:showPercent val="0"/>
          <c:showBubbleSize val="0"/>
        </c:dLbls>
        <c:axId val="233924671"/>
        <c:axId val="233927071"/>
      </c:areaChart>
      <c:catAx>
        <c:axId val="23392467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927071"/>
        <c:crosses val="autoZero"/>
        <c:auto val="1"/>
        <c:lblAlgn val="ctr"/>
        <c:lblOffset val="100"/>
        <c:noMultiLvlLbl val="0"/>
      </c:catAx>
      <c:valAx>
        <c:axId val="2339270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924671"/>
        <c:crosses val="autoZero"/>
        <c:crossBetween val="midCat"/>
      </c:valAx>
      <c:spPr>
        <a:noFill/>
        <a:ln>
          <a:noFill/>
        </a:ln>
        <a:effectLst/>
      </c:spPr>
    </c:plotArea>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[Book1.xlsx]Pivot Report!PivotTable4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17756069261396E-2"/>
          <c:y val="0.10687794990918977"/>
          <c:w val="0.98905711382382355"/>
          <c:h val="0.7862443577385051"/>
        </c:manualLayout>
      </c:layout>
      <c:areaChart>
        <c:grouping val="standard"/>
        <c:varyColors val="0"/>
        <c:ser>
          <c:idx val="0"/>
          <c:order val="0"/>
          <c:tx>
            <c:strRef>
              <c:f>'Pivot Report'!$D$7</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Report'!$C$8:$C$312</c:f>
              <c:strCache>
                <c:ptCount val="304"/>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strCache>
            </c:strRef>
          </c:cat>
          <c:val>
            <c:numRef>
              <c:f>'Pivot Report'!$D$8:$D$312</c:f>
              <c:numCache>
                <c:formatCode>General</c:formatCode>
                <c:ptCount val="304"/>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12</c:v>
                </c:pt>
                <c:pt idx="92">
                  <c:v>19</c:v>
                </c:pt>
                <c:pt idx="93">
                  <c:v>17</c:v>
                </c:pt>
                <c:pt idx="94">
                  <c:v>20</c:v>
                </c:pt>
                <c:pt idx="95">
                  <c:v>15</c:v>
                </c:pt>
                <c:pt idx="96">
                  <c:v>17</c:v>
                </c:pt>
                <c:pt idx="97">
                  <c:v>16</c:v>
                </c:pt>
                <c:pt idx="98">
                  <c:v>10</c:v>
                </c:pt>
                <c:pt idx="99">
                  <c:v>15</c:v>
                </c:pt>
                <c:pt idx="100">
                  <c:v>14</c:v>
                </c:pt>
                <c:pt idx="101">
                  <c:v>16</c:v>
                </c:pt>
                <c:pt idx="102">
                  <c:v>12</c:v>
                </c:pt>
                <c:pt idx="103">
                  <c:v>12</c:v>
                </c:pt>
                <c:pt idx="104">
                  <c:v>13</c:v>
                </c:pt>
                <c:pt idx="105">
                  <c:v>20</c:v>
                </c:pt>
                <c:pt idx="106">
                  <c:v>17</c:v>
                </c:pt>
                <c:pt idx="107">
                  <c:v>10</c:v>
                </c:pt>
                <c:pt idx="108">
                  <c:v>16</c:v>
                </c:pt>
                <c:pt idx="109">
                  <c:v>13</c:v>
                </c:pt>
                <c:pt idx="110">
                  <c:v>16</c:v>
                </c:pt>
                <c:pt idx="111">
                  <c:v>18</c:v>
                </c:pt>
                <c:pt idx="112">
                  <c:v>21</c:v>
                </c:pt>
                <c:pt idx="113">
                  <c:v>15</c:v>
                </c:pt>
                <c:pt idx="114">
                  <c:v>18</c:v>
                </c:pt>
                <c:pt idx="115">
                  <c:v>15</c:v>
                </c:pt>
                <c:pt idx="116">
                  <c:v>18</c:v>
                </c:pt>
                <c:pt idx="117">
                  <c:v>19</c:v>
                </c:pt>
                <c:pt idx="118">
                  <c:v>16</c:v>
                </c:pt>
                <c:pt idx="119">
                  <c:v>13</c:v>
                </c:pt>
                <c:pt idx="120">
                  <c:v>16</c:v>
                </c:pt>
                <c:pt idx="121">
                  <c:v>14</c:v>
                </c:pt>
                <c:pt idx="122">
                  <c:v>21</c:v>
                </c:pt>
                <c:pt idx="123">
                  <c:v>21</c:v>
                </c:pt>
                <c:pt idx="124">
                  <c:v>15</c:v>
                </c:pt>
                <c:pt idx="125">
                  <c:v>11</c:v>
                </c:pt>
                <c:pt idx="126">
                  <c:v>17</c:v>
                </c:pt>
                <c:pt idx="127">
                  <c:v>15</c:v>
                </c:pt>
                <c:pt idx="128">
                  <c:v>17</c:v>
                </c:pt>
                <c:pt idx="129">
                  <c:v>13</c:v>
                </c:pt>
                <c:pt idx="130">
                  <c:v>24</c:v>
                </c:pt>
                <c:pt idx="131">
                  <c:v>13</c:v>
                </c:pt>
                <c:pt idx="132">
                  <c:v>14</c:v>
                </c:pt>
                <c:pt idx="133">
                  <c:v>12</c:v>
                </c:pt>
                <c:pt idx="134">
                  <c:v>11</c:v>
                </c:pt>
                <c:pt idx="135">
                  <c:v>16</c:v>
                </c:pt>
                <c:pt idx="136">
                  <c:v>20</c:v>
                </c:pt>
                <c:pt idx="137">
                  <c:v>15</c:v>
                </c:pt>
                <c:pt idx="138">
                  <c:v>19</c:v>
                </c:pt>
                <c:pt idx="139">
                  <c:v>16</c:v>
                </c:pt>
                <c:pt idx="140">
                  <c:v>17</c:v>
                </c:pt>
                <c:pt idx="141">
                  <c:v>28</c:v>
                </c:pt>
                <c:pt idx="142">
                  <c:v>22</c:v>
                </c:pt>
                <c:pt idx="143">
                  <c:v>20</c:v>
                </c:pt>
                <c:pt idx="144">
                  <c:v>17</c:v>
                </c:pt>
                <c:pt idx="145">
                  <c:v>18</c:v>
                </c:pt>
                <c:pt idx="146">
                  <c:v>13</c:v>
                </c:pt>
                <c:pt idx="147">
                  <c:v>13</c:v>
                </c:pt>
                <c:pt idx="148">
                  <c:v>13</c:v>
                </c:pt>
                <c:pt idx="149">
                  <c:v>20</c:v>
                </c:pt>
                <c:pt idx="150">
                  <c:v>15</c:v>
                </c:pt>
                <c:pt idx="151">
                  <c:v>19</c:v>
                </c:pt>
                <c:pt idx="152">
                  <c:v>17</c:v>
                </c:pt>
                <c:pt idx="153">
                  <c:v>10</c:v>
                </c:pt>
                <c:pt idx="154">
                  <c:v>23</c:v>
                </c:pt>
                <c:pt idx="155">
                  <c:v>15</c:v>
                </c:pt>
                <c:pt idx="156">
                  <c:v>14</c:v>
                </c:pt>
                <c:pt idx="157">
                  <c:v>11</c:v>
                </c:pt>
                <c:pt idx="158">
                  <c:v>15</c:v>
                </c:pt>
                <c:pt idx="159">
                  <c:v>20</c:v>
                </c:pt>
                <c:pt idx="160">
                  <c:v>21</c:v>
                </c:pt>
                <c:pt idx="161">
                  <c:v>17</c:v>
                </c:pt>
                <c:pt idx="162">
                  <c:v>17</c:v>
                </c:pt>
                <c:pt idx="163">
                  <c:v>17</c:v>
                </c:pt>
                <c:pt idx="164">
                  <c:v>17</c:v>
                </c:pt>
                <c:pt idx="165">
                  <c:v>11</c:v>
                </c:pt>
                <c:pt idx="166">
                  <c:v>23</c:v>
                </c:pt>
                <c:pt idx="167">
                  <c:v>14</c:v>
                </c:pt>
                <c:pt idx="168">
                  <c:v>22</c:v>
                </c:pt>
                <c:pt idx="169">
                  <c:v>16</c:v>
                </c:pt>
                <c:pt idx="170">
                  <c:v>13</c:v>
                </c:pt>
                <c:pt idx="171">
                  <c:v>14</c:v>
                </c:pt>
                <c:pt idx="172">
                  <c:v>12</c:v>
                </c:pt>
                <c:pt idx="173">
                  <c:v>12</c:v>
                </c:pt>
                <c:pt idx="174">
                  <c:v>20</c:v>
                </c:pt>
                <c:pt idx="175">
                  <c:v>19</c:v>
                </c:pt>
                <c:pt idx="176">
                  <c:v>13</c:v>
                </c:pt>
                <c:pt idx="177">
                  <c:v>15</c:v>
                </c:pt>
                <c:pt idx="178">
                  <c:v>19</c:v>
                </c:pt>
                <c:pt idx="179">
                  <c:v>17</c:v>
                </c:pt>
                <c:pt idx="180">
                  <c:v>15</c:v>
                </c:pt>
                <c:pt idx="181">
                  <c:v>16</c:v>
                </c:pt>
                <c:pt idx="182">
                  <c:v>17</c:v>
                </c:pt>
                <c:pt idx="183">
                  <c:v>19</c:v>
                </c:pt>
                <c:pt idx="184">
                  <c:v>12</c:v>
                </c:pt>
                <c:pt idx="185">
                  <c:v>9</c:v>
                </c:pt>
                <c:pt idx="186">
                  <c:v>15</c:v>
                </c:pt>
                <c:pt idx="187">
                  <c:v>10</c:v>
                </c:pt>
                <c:pt idx="188">
                  <c:v>18</c:v>
                </c:pt>
                <c:pt idx="189">
                  <c:v>19</c:v>
                </c:pt>
                <c:pt idx="190">
                  <c:v>19</c:v>
                </c:pt>
                <c:pt idx="191">
                  <c:v>13</c:v>
                </c:pt>
                <c:pt idx="192">
                  <c:v>15</c:v>
                </c:pt>
                <c:pt idx="193">
                  <c:v>25</c:v>
                </c:pt>
                <c:pt idx="194">
                  <c:v>19</c:v>
                </c:pt>
                <c:pt idx="195">
                  <c:v>15</c:v>
                </c:pt>
                <c:pt idx="196">
                  <c:v>14</c:v>
                </c:pt>
                <c:pt idx="197">
                  <c:v>20</c:v>
                </c:pt>
                <c:pt idx="198">
                  <c:v>14</c:v>
                </c:pt>
                <c:pt idx="199">
                  <c:v>14</c:v>
                </c:pt>
                <c:pt idx="200">
                  <c:v>17</c:v>
                </c:pt>
                <c:pt idx="201">
                  <c:v>16</c:v>
                </c:pt>
                <c:pt idx="202">
                  <c:v>18</c:v>
                </c:pt>
                <c:pt idx="203">
                  <c:v>8</c:v>
                </c:pt>
                <c:pt idx="204">
                  <c:v>17</c:v>
                </c:pt>
                <c:pt idx="205">
                  <c:v>11</c:v>
                </c:pt>
                <c:pt idx="206">
                  <c:v>15</c:v>
                </c:pt>
                <c:pt idx="207">
                  <c:v>13</c:v>
                </c:pt>
                <c:pt idx="208">
                  <c:v>17</c:v>
                </c:pt>
                <c:pt idx="209">
                  <c:v>20</c:v>
                </c:pt>
                <c:pt idx="210">
                  <c:v>20</c:v>
                </c:pt>
                <c:pt idx="211">
                  <c:v>13</c:v>
                </c:pt>
                <c:pt idx="212">
                  <c:v>16</c:v>
                </c:pt>
                <c:pt idx="213">
                  <c:v>28</c:v>
                </c:pt>
                <c:pt idx="214">
                  <c:v>19</c:v>
                </c:pt>
                <c:pt idx="215">
                  <c:v>14</c:v>
                </c:pt>
                <c:pt idx="216">
                  <c:v>17</c:v>
                </c:pt>
                <c:pt idx="217">
                  <c:v>19</c:v>
                </c:pt>
                <c:pt idx="218">
                  <c:v>12</c:v>
                </c:pt>
                <c:pt idx="219">
                  <c:v>10</c:v>
                </c:pt>
                <c:pt idx="220">
                  <c:v>20</c:v>
                </c:pt>
                <c:pt idx="221">
                  <c:v>12</c:v>
                </c:pt>
                <c:pt idx="222">
                  <c:v>24</c:v>
                </c:pt>
                <c:pt idx="223">
                  <c:v>16</c:v>
                </c:pt>
                <c:pt idx="224">
                  <c:v>16</c:v>
                </c:pt>
                <c:pt idx="225">
                  <c:v>14</c:v>
                </c:pt>
                <c:pt idx="226">
                  <c:v>12</c:v>
                </c:pt>
                <c:pt idx="227">
                  <c:v>18</c:v>
                </c:pt>
                <c:pt idx="228">
                  <c:v>15</c:v>
                </c:pt>
                <c:pt idx="229">
                  <c:v>25</c:v>
                </c:pt>
                <c:pt idx="230">
                  <c:v>15</c:v>
                </c:pt>
                <c:pt idx="231">
                  <c:v>19</c:v>
                </c:pt>
                <c:pt idx="232">
                  <c:v>23</c:v>
                </c:pt>
                <c:pt idx="233">
                  <c:v>10</c:v>
                </c:pt>
                <c:pt idx="234">
                  <c:v>14</c:v>
                </c:pt>
                <c:pt idx="235">
                  <c:v>16</c:v>
                </c:pt>
                <c:pt idx="236">
                  <c:v>18</c:v>
                </c:pt>
                <c:pt idx="237">
                  <c:v>22</c:v>
                </c:pt>
                <c:pt idx="238">
                  <c:v>14</c:v>
                </c:pt>
                <c:pt idx="239">
                  <c:v>15</c:v>
                </c:pt>
                <c:pt idx="240">
                  <c:v>21</c:v>
                </c:pt>
                <c:pt idx="241">
                  <c:v>17</c:v>
                </c:pt>
                <c:pt idx="242">
                  <c:v>16</c:v>
                </c:pt>
                <c:pt idx="243">
                  <c:v>19</c:v>
                </c:pt>
                <c:pt idx="244">
                  <c:v>23</c:v>
                </c:pt>
                <c:pt idx="245">
                  <c:v>17</c:v>
                </c:pt>
                <c:pt idx="246">
                  <c:v>20</c:v>
                </c:pt>
                <c:pt idx="247">
                  <c:v>16</c:v>
                </c:pt>
                <c:pt idx="248">
                  <c:v>11</c:v>
                </c:pt>
                <c:pt idx="249">
                  <c:v>17</c:v>
                </c:pt>
                <c:pt idx="250">
                  <c:v>15</c:v>
                </c:pt>
                <c:pt idx="251">
                  <c:v>17</c:v>
                </c:pt>
                <c:pt idx="252">
                  <c:v>17</c:v>
                </c:pt>
                <c:pt idx="253">
                  <c:v>13</c:v>
                </c:pt>
                <c:pt idx="254">
                  <c:v>12</c:v>
                </c:pt>
                <c:pt idx="255">
                  <c:v>19</c:v>
                </c:pt>
                <c:pt idx="256">
                  <c:v>12</c:v>
                </c:pt>
                <c:pt idx="257">
                  <c:v>15</c:v>
                </c:pt>
                <c:pt idx="258">
                  <c:v>18</c:v>
                </c:pt>
                <c:pt idx="259">
                  <c:v>13</c:v>
                </c:pt>
                <c:pt idx="260">
                  <c:v>22</c:v>
                </c:pt>
                <c:pt idx="261">
                  <c:v>16</c:v>
                </c:pt>
                <c:pt idx="262">
                  <c:v>13</c:v>
                </c:pt>
                <c:pt idx="263">
                  <c:v>14</c:v>
                </c:pt>
                <c:pt idx="264">
                  <c:v>21</c:v>
                </c:pt>
                <c:pt idx="265">
                  <c:v>9</c:v>
                </c:pt>
                <c:pt idx="266">
                  <c:v>10</c:v>
                </c:pt>
                <c:pt idx="267">
                  <c:v>15</c:v>
                </c:pt>
                <c:pt idx="268">
                  <c:v>15</c:v>
                </c:pt>
                <c:pt idx="269">
                  <c:v>13</c:v>
                </c:pt>
                <c:pt idx="270">
                  <c:v>12</c:v>
                </c:pt>
                <c:pt idx="271">
                  <c:v>17</c:v>
                </c:pt>
                <c:pt idx="272">
                  <c:v>17</c:v>
                </c:pt>
                <c:pt idx="273">
                  <c:v>17</c:v>
                </c:pt>
                <c:pt idx="274">
                  <c:v>20</c:v>
                </c:pt>
                <c:pt idx="275">
                  <c:v>11</c:v>
                </c:pt>
                <c:pt idx="276">
                  <c:v>18</c:v>
                </c:pt>
                <c:pt idx="277">
                  <c:v>16</c:v>
                </c:pt>
                <c:pt idx="278">
                  <c:v>11</c:v>
                </c:pt>
                <c:pt idx="279">
                  <c:v>11</c:v>
                </c:pt>
                <c:pt idx="280">
                  <c:v>14</c:v>
                </c:pt>
                <c:pt idx="281">
                  <c:v>16</c:v>
                </c:pt>
                <c:pt idx="282">
                  <c:v>18</c:v>
                </c:pt>
                <c:pt idx="283">
                  <c:v>10</c:v>
                </c:pt>
                <c:pt idx="284">
                  <c:v>23</c:v>
                </c:pt>
                <c:pt idx="285">
                  <c:v>19</c:v>
                </c:pt>
                <c:pt idx="286">
                  <c:v>14</c:v>
                </c:pt>
                <c:pt idx="287">
                  <c:v>20</c:v>
                </c:pt>
                <c:pt idx="288">
                  <c:v>15</c:v>
                </c:pt>
                <c:pt idx="289">
                  <c:v>12</c:v>
                </c:pt>
                <c:pt idx="290">
                  <c:v>17</c:v>
                </c:pt>
                <c:pt idx="291">
                  <c:v>18</c:v>
                </c:pt>
                <c:pt idx="292">
                  <c:v>16</c:v>
                </c:pt>
                <c:pt idx="293">
                  <c:v>20</c:v>
                </c:pt>
                <c:pt idx="294">
                  <c:v>17</c:v>
                </c:pt>
                <c:pt idx="295">
                  <c:v>19</c:v>
                </c:pt>
                <c:pt idx="296">
                  <c:v>17</c:v>
                </c:pt>
                <c:pt idx="297">
                  <c:v>18</c:v>
                </c:pt>
                <c:pt idx="298">
                  <c:v>18</c:v>
                </c:pt>
                <c:pt idx="299">
                  <c:v>15</c:v>
                </c:pt>
                <c:pt idx="300">
                  <c:v>10</c:v>
                </c:pt>
                <c:pt idx="301">
                  <c:v>14</c:v>
                </c:pt>
                <c:pt idx="302">
                  <c:v>9</c:v>
                </c:pt>
                <c:pt idx="303">
                  <c:v>15</c:v>
                </c:pt>
              </c:numCache>
            </c:numRef>
          </c:val>
          <c:extLst>
            <c:ext xmlns:c16="http://schemas.microsoft.com/office/drawing/2014/chart" uri="{C3380CC4-5D6E-409C-BE32-E72D297353CC}">
              <c16:uniqueId val="{00000000-C0A5-4454-81FD-D81614D0D91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24059615"/>
        <c:axId val="224060095"/>
      </c:areaChart>
      <c:catAx>
        <c:axId val="2240596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24060095"/>
        <c:crosses val="autoZero"/>
        <c:auto val="1"/>
        <c:lblAlgn val="ctr"/>
        <c:lblOffset val="100"/>
        <c:noMultiLvlLbl val="0"/>
      </c:catAx>
      <c:valAx>
        <c:axId val="2240600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0596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7.xml"/><Relationship Id="rId18" Type="http://schemas.openxmlformats.org/officeDocument/2006/relationships/chart" Target="../charts/chart10.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Patient Average Waittime'!A1"/><Relationship Id="rId17" Type="http://schemas.openxmlformats.org/officeDocument/2006/relationships/chart" Target="../charts/chart9.xml"/><Relationship Id="rId2" Type="http://schemas.openxmlformats.org/officeDocument/2006/relationships/hyperlink" Target="#DailyERNoofPatient!A1"/><Relationship Id="rId16" Type="http://schemas.openxmlformats.org/officeDocument/2006/relationships/image" Target="../media/image10.emf"/><Relationship Id="rId20"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6.xml"/><Relationship Id="rId5" Type="http://schemas.openxmlformats.org/officeDocument/2006/relationships/image" Target="../media/image4.png"/><Relationship Id="rId15" Type="http://schemas.openxmlformats.org/officeDocument/2006/relationships/chart" Target="../charts/chart8.xml"/><Relationship Id="rId10" Type="http://schemas.openxmlformats.org/officeDocument/2006/relationships/image" Target="../media/image9.svg"/><Relationship Id="rId19" Type="http://schemas.openxmlformats.org/officeDocument/2006/relationships/chart" Target="../charts/chart11.xml"/><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hyperlink" Target="#'Patient Average Satisfaction sc'!A1"/></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19</xdr:col>
      <xdr:colOff>597773</xdr:colOff>
      <xdr:row>11</xdr:row>
      <xdr:rowOff>177362</xdr:rowOff>
    </xdr:from>
    <xdr:to>
      <xdr:col>20</xdr:col>
      <xdr:colOff>2088930</xdr:colOff>
      <xdr:row>15</xdr:row>
      <xdr:rowOff>6568</xdr:rowOff>
    </xdr:to>
    <xdr:graphicFrame macro="">
      <xdr:nvGraphicFramePr>
        <xdr:cNvPr id="3" name="Chart 2">
          <a:extLst>
            <a:ext uri="{FF2B5EF4-FFF2-40B4-BE49-F238E27FC236}">
              <a16:creationId xmlns:a16="http://schemas.microsoft.com/office/drawing/2014/main" id="{1B23DA93-6BEF-4022-9824-8F0173350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430414</xdr:colOff>
      <xdr:row>16</xdr:row>
      <xdr:rowOff>34119</xdr:rowOff>
    </xdr:from>
    <xdr:to>
      <xdr:col>27</xdr:col>
      <xdr:colOff>528850</xdr:colOff>
      <xdr:row>26</xdr:row>
      <xdr:rowOff>84514</xdr:rowOff>
    </xdr:to>
    <xdr:graphicFrame macro="">
      <xdr:nvGraphicFramePr>
        <xdr:cNvPr id="4" name="Chart 3">
          <a:extLst>
            <a:ext uri="{FF2B5EF4-FFF2-40B4-BE49-F238E27FC236}">
              <a16:creationId xmlns:a16="http://schemas.microsoft.com/office/drawing/2014/main" id="{65367F0B-5A8D-5DA5-F54A-F36CAB959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59927</xdr:colOff>
      <xdr:row>7</xdr:row>
      <xdr:rowOff>126636</xdr:rowOff>
    </xdr:from>
    <xdr:to>
      <xdr:col>28</xdr:col>
      <xdr:colOff>1670013</xdr:colOff>
      <xdr:row>14</xdr:row>
      <xdr:rowOff>39632</xdr:rowOff>
    </xdr:to>
    <xdr:graphicFrame macro="">
      <xdr:nvGraphicFramePr>
        <xdr:cNvPr id="5" name="Chart 4">
          <a:extLst>
            <a:ext uri="{FF2B5EF4-FFF2-40B4-BE49-F238E27FC236}">
              <a16:creationId xmlns:a16="http://schemas.microsoft.com/office/drawing/2014/main" id="{28FBDB11-49A5-079E-A673-3A5E072F9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384325</xdr:colOff>
      <xdr:row>7</xdr:row>
      <xdr:rowOff>81319</xdr:rowOff>
    </xdr:from>
    <xdr:to>
      <xdr:col>34</xdr:col>
      <xdr:colOff>53366</xdr:colOff>
      <xdr:row>14</xdr:row>
      <xdr:rowOff>176284</xdr:rowOff>
    </xdr:to>
    <xdr:graphicFrame macro="">
      <xdr:nvGraphicFramePr>
        <xdr:cNvPr id="6" name="Chart 5">
          <a:extLst>
            <a:ext uri="{FF2B5EF4-FFF2-40B4-BE49-F238E27FC236}">
              <a16:creationId xmlns:a16="http://schemas.microsoft.com/office/drawing/2014/main" id="{FB07459B-00C2-8986-8E57-BE3405B2D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81273</xdr:colOff>
      <xdr:row>13</xdr:row>
      <xdr:rowOff>104066</xdr:rowOff>
    </xdr:from>
    <xdr:to>
      <xdr:col>38</xdr:col>
      <xdr:colOff>150649</xdr:colOff>
      <xdr:row>24</xdr:row>
      <xdr:rowOff>153537</xdr:rowOff>
    </xdr:to>
    <xdr:graphicFrame macro="">
      <xdr:nvGraphicFramePr>
        <xdr:cNvPr id="7" name="Chart 6">
          <a:extLst>
            <a:ext uri="{FF2B5EF4-FFF2-40B4-BE49-F238E27FC236}">
              <a16:creationId xmlns:a16="http://schemas.microsoft.com/office/drawing/2014/main" id="{E9C120AA-C119-E0C2-9182-2F3BD9D22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36</xdr:col>
      <xdr:colOff>1702776</xdr:colOff>
      <xdr:row>5</xdr:row>
      <xdr:rowOff>97888</xdr:rowOff>
    </xdr:from>
    <xdr:to>
      <xdr:col>39</xdr:col>
      <xdr:colOff>460130</xdr:colOff>
      <xdr:row>19</xdr:row>
      <xdr:rowOff>20955</xdr:rowOff>
    </xdr:to>
    <mc:AlternateContent xmlns:mc="http://schemas.openxmlformats.org/markup-compatibility/2006" xmlns:a14="http://schemas.microsoft.com/office/drawing/2010/main">
      <mc:Choice Requires="a14">
        <xdr:graphicFrame macro="">
          <xdr:nvGraphicFramePr>
            <xdr:cNvPr id="8" name="Date (Year)">
              <a:extLst>
                <a:ext uri="{FF2B5EF4-FFF2-40B4-BE49-F238E27FC236}">
                  <a16:creationId xmlns:a16="http://schemas.microsoft.com/office/drawing/2014/main" id="{EE25EBD7-C13B-7747-212A-8D55BE17A35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1526284" y="100642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8759</xdr:colOff>
      <xdr:row>0</xdr:row>
      <xdr:rowOff>8764</xdr:rowOff>
    </xdr:from>
    <xdr:to>
      <xdr:col>1</xdr:col>
      <xdr:colOff>522514</xdr:colOff>
      <xdr:row>31</xdr:row>
      <xdr:rowOff>22194</xdr:rowOff>
    </xdr:to>
    <xdr:sp macro="" textlink="">
      <xdr:nvSpPr>
        <xdr:cNvPr id="2" name="Rectangle: Rounded Corners 1">
          <a:extLst>
            <a:ext uri="{FF2B5EF4-FFF2-40B4-BE49-F238E27FC236}">
              <a16:creationId xmlns:a16="http://schemas.microsoft.com/office/drawing/2014/main" id="{FF04D9F7-5E82-C1C9-D837-07E947395C0E}"/>
            </a:ext>
          </a:extLst>
        </xdr:cNvPr>
        <xdr:cNvSpPr/>
      </xdr:nvSpPr>
      <xdr:spPr>
        <a:xfrm rot="5400000">
          <a:off x="-2304506" y="2322029"/>
          <a:ext cx="5746925" cy="1120396"/>
        </a:xfrm>
        <a:prstGeom prst="roundRect">
          <a:avLst>
            <a:gd name="adj" fmla="val 69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180771</xdr:colOff>
      <xdr:row>7</xdr:row>
      <xdr:rowOff>165339</xdr:rowOff>
    </xdr:from>
    <xdr:to>
      <xdr:col>1</xdr:col>
      <xdr:colOff>366623</xdr:colOff>
      <xdr:row>27</xdr:row>
      <xdr:rowOff>43133</xdr:rowOff>
    </xdr:to>
    <xdr:sp macro="" textlink="">
      <xdr:nvSpPr>
        <xdr:cNvPr id="6" name="Rectangle: Rounded Corners 5">
          <a:extLst>
            <a:ext uri="{FF2B5EF4-FFF2-40B4-BE49-F238E27FC236}">
              <a16:creationId xmlns:a16="http://schemas.microsoft.com/office/drawing/2014/main" id="{A55131AE-EAEA-EB62-F692-BC8F9F7BFCBA}"/>
            </a:ext>
          </a:extLst>
        </xdr:cNvPr>
        <xdr:cNvSpPr/>
      </xdr:nvSpPr>
      <xdr:spPr>
        <a:xfrm>
          <a:off x="180771" y="1423358"/>
          <a:ext cx="796890" cy="3472133"/>
        </a:xfrm>
        <a:prstGeom prst="roundRect">
          <a:avLst>
            <a:gd name="adj" fmla="val 4051"/>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4</xdr:col>
      <xdr:colOff>458017</xdr:colOff>
      <xdr:row>0</xdr:row>
      <xdr:rowOff>88876</xdr:rowOff>
    </xdr:from>
    <xdr:to>
      <xdr:col>7</xdr:col>
      <xdr:colOff>1125521</xdr:colOff>
      <xdr:row>7</xdr:row>
      <xdr:rowOff>87312</xdr:rowOff>
    </xdr:to>
    <xdr:sp macro="" textlink="">
      <xdr:nvSpPr>
        <xdr:cNvPr id="4" name="Rectangle: Rounded Corners 3">
          <a:extLst>
            <a:ext uri="{FF2B5EF4-FFF2-40B4-BE49-F238E27FC236}">
              <a16:creationId xmlns:a16="http://schemas.microsoft.com/office/drawing/2014/main" id="{93E7D30C-5EB1-F5CC-3AAF-FCF18D5B8FCC}"/>
            </a:ext>
          </a:extLst>
        </xdr:cNvPr>
        <xdr:cNvSpPr/>
      </xdr:nvSpPr>
      <xdr:spPr>
        <a:xfrm>
          <a:off x="2910705" y="88876"/>
          <a:ext cx="1461809" cy="1276374"/>
        </a:xfrm>
        <a:prstGeom prst="roundRect">
          <a:avLst>
            <a:gd name="adj" fmla="val 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1248600</xdr:colOff>
      <xdr:row>0</xdr:row>
      <xdr:rowOff>107754</xdr:rowOff>
    </xdr:from>
    <xdr:to>
      <xdr:col>9</xdr:col>
      <xdr:colOff>417383</xdr:colOff>
      <xdr:row>7</xdr:row>
      <xdr:rowOff>87312</xdr:rowOff>
    </xdr:to>
    <xdr:sp macro="" textlink="">
      <xdr:nvSpPr>
        <xdr:cNvPr id="8" name="Rectangle: Rounded Corners 7">
          <a:extLst>
            <a:ext uri="{FF2B5EF4-FFF2-40B4-BE49-F238E27FC236}">
              <a16:creationId xmlns:a16="http://schemas.microsoft.com/office/drawing/2014/main" id="{D2084B76-3BF3-ADE1-EBE7-A58B39B9CE44}"/>
            </a:ext>
          </a:extLst>
        </xdr:cNvPr>
        <xdr:cNvSpPr/>
      </xdr:nvSpPr>
      <xdr:spPr>
        <a:xfrm>
          <a:off x="4482760" y="107754"/>
          <a:ext cx="1585823" cy="1269642"/>
        </a:xfrm>
        <a:prstGeom prst="roundRect">
          <a:avLst>
            <a:gd name="adj" fmla="val 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22353</xdr:colOff>
      <xdr:row>0</xdr:row>
      <xdr:rowOff>86798</xdr:rowOff>
    </xdr:from>
    <xdr:to>
      <xdr:col>4</xdr:col>
      <xdr:colOff>287547</xdr:colOff>
      <xdr:row>7</xdr:row>
      <xdr:rowOff>95250</xdr:rowOff>
    </xdr:to>
    <xdr:sp macro="" textlink="">
      <xdr:nvSpPr>
        <xdr:cNvPr id="9" name="Rectangle: Rounded Corners 8">
          <a:extLst>
            <a:ext uri="{FF2B5EF4-FFF2-40B4-BE49-F238E27FC236}">
              <a16:creationId xmlns:a16="http://schemas.microsoft.com/office/drawing/2014/main" id="{8C2213A7-35CF-6D6C-AAB3-A1DE9B817F5C}"/>
            </a:ext>
          </a:extLst>
        </xdr:cNvPr>
        <xdr:cNvSpPr/>
      </xdr:nvSpPr>
      <xdr:spPr>
        <a:xfrm>
          <a:off x="1252666" y="86798"/>
          <a:ext cx="1487569" cy="1286390"/>
        </a:xfrm>
        <a:prstGeom prst="roundRect">
          <a:avLst>
            <a:gd name="adj" fmla="val 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481365</xdr:colOff>
      <xdr:row>0</xdr:row>
      <xdr:rowOff>121485</xdr:rowOff>
    </xdr:from>
    <xdr:to>
      <xdr:col>17</xdr:col>
      <xdr:colOff>358494</xdr:colOff>
      <xdr:row>14</xdr:row>
      <xdr:rowOff>174171</xdr:rowOff>
    </xdr:to>
    <xdr:sp macro="" textlink="">
      <xdr:nvSpPr>
        <xdr:cNvPr id="10" name="Rectangle: Rounded Corners 9">
          <a:extLst>
            <a:ext uri="{FF2B5EF4-FFF2-40B4-BE49-F238E27FC236}">
              <a16:creationId xmlns:a16="http://schemas.microsoft.com/office/drawing/2014/main" id="{D8CFFA41-1942-4C66-72F2-A64409B8A295}"/>
            </a:ext>
          </a:extLst>
        </xdr:cNvPr>
        <xdr:cNvSpPr/>
      </xdr:nvSpPr>
      <xdr:spPr>
        <a:xfrm>
          <a:off x="6111287" y="121485"/>
          <a:ext cx="4730256" cy="2642006"/>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ysClr val="windowText" lastClr="000000"/>
              </a:solidFill>
              <a:latin typeface="+mn-lt"/>
              <a:ea typeface="+mn-ea"/>
              <a:cs typeface="+mn-cs"/>
            </a:rPr>
            <a:t>PATIENT OVERVIEW</a:t>
          </a:r>
        </a:p>
      </xdr:txBody>
    </xdr:sp>
    <xdr:clientData/>
  </xdr:twoCellAnchor>
  <xdr:twoCellAnchor editAs="absolute">
    <xdr:from>
      <xdr:col>9</xdr:col>
      <xdr:colOff>484629</xdr:colOff>
      <xdr:row>2</xdr:row>
      <xdr:rowOff>142430</xdr:rowOff>
    </xdr:from>
    <xdr:to>
      <xdr:col>13</xdr:col>
      <xdr:colOff>460093</xdr:colOff>
      <xdr:row>13</xdr:row>
      <xdr:rowOff>116866</xdr:rowOff>
    </xdr:to>
    <xdr:sp macro="" textlink="">
      <xdr:nvSpPr>
        <xdr:cNvPr id="11" name="Rectangle: Rounded Corners 10">
          <a:extLst>
            <a:ext uri="{FF2B5EF4-FFF2-40B4-BE49-F238E27FC236}">
              <a16:creationId xmlns:a16="http://schemas.microsoft.com/office/drawing/2014/main" id="{8EB15286-F205-709A-ACDA-08E0D3CBD447}"/>
            </a:ext>
          </a:extLst>
        </xdr:cNvPr>
        <xdr:cNvSpPr/>
      </xdr:nvSpPr>
      <xdr:spPr>
        <a:xfrm>
          <a:off x="6164416" y="512748"/>
          <a:ext cx="2425258" cy="2011183"/>
        </a:xfrm>
        <a:prstGeom prst="roundRect">
          <a:avLst>
            <a:gd name="adj" fmla="val 0"/>
          </a:avLst>
        </a:prstGeom>
        <a:ln w="3175">
          <a:solidFill>
            <a:schemeClr val="bg2">
              <a:lumMod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13</xdr:col>
      <xdr:colOff>458610</xdr:colOff>
      <xdr:row>2</xdr:row>
      <xdr:rowOff>141402</xdr:rowOff>
    </xdr:from>
    <xdr:to>
      <xdr:col>17</xdr:col>
      <xdr:colOff>358048</xdr:colOff>
      <xdr:row>14</xdr:row>
      <xdr:rowOff>174171</xdr:rowOff>
    </xdr:to>
    <xdr:sp macro="" textlink="">
      <xdr:nvSpPr>
        <xdr:cNvPr id="12" name="Rectangle: Rounded Corners 11">
          <a:extLst>
            <a:ext uri="{FF2B5EF4-FFF2-40B4-BE49-F238E27FC236}">
              <a16:creationId xmlns:a16="http://schemas.microsoft.com/office/drawing/2014/main" id="{D25FE5B1-AC4D-D71F-88FC-0EAA0060F0EF}"/>
            </a:ext>
          </a:extLst>
        </xdr:cNvPr>
        <xdr:cNvSpPr/>
      </xdr:nvSpPr>
      <xdr:spPr>
        <a:xfrm>
          <a:off x="8550324" y="504259"/>
          <a:ext cx="2337838" cy="2209912"/>
        </a:xfrm>
        <a:prstGeom prst="roundRect">
          <a:avLst>
            <a:gd name="adj" fmla="val 0"/>
          </a:avLst>
        </a:prstGeom>
        <a:ln w="3175">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40403</xdr:colOff>
      <xdr:row>8</xdr:row>
      <xdr:rowOff>66947</xdr:rowOff>
    </xdr:from>
    <xdr:to>
      <xdr:col>9</xdr:col>
      <xdr:colOff>433467</xdr:colOff>
      <xdr:row>11</xdr:row>
      <xdr:rowOff>116999</xdr:rowOff>
    </xdr:to>
    <xdr:sp macro="" textlink="">
      <xdr:nvSpPr>
        <xdr:cNvPr id="15" name="Rectangle: Rounded Corners 14">
          <a:extLst>
            <a:ext uri="{FF2B5EF4-FFF2-40B4-BE49-F238E27FC236}">
              <a16:creationId xmlns:a16="http://schemas.microsoft.com/office/drawing/2014/main" id="{D9A7D53F-3428-65FE-7744-F9EF668392A3}"/>
            </a:ext>
          </a:extLst>
        </xdr:cNvPr>
        <xdr:cNvSpPr/>
      </xdr:nvSpPr>
      <xdr:spPr>
        <a:xfrm>
          <a:off x="1261083" y="1546559"/>
          <a:ext cx="4802306" cy="604906"/>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64697</xdr:colOff>
      <xdr:row>3</xdr:row>
      <xdr:rowOff>100640</xdr:rowOff>
    </xdr:from>
    <xdr:to>
      <xdr:col>1</xdr:col>
      <xdr:colOff>546339</xdr:colOff>
      <xdr:row>7</xdr:row>
      <xdr:rowOff>158151</xdr:rowOff>
    </xdr:to>
    <xdr:sp macro="" textlink="">
      <xdr:nvSpPr>
        <xdr:cNvPr id="19" name="TextBox 18">
          <a:extLst>
            <a:ext uri="{FF2B5EF4-FFF2-40B4-BE49-F238E27FC236}">
              <a16:creationId xmlns:a16="http://schemas.microsoft.com/office/drawing/2014/main" id="{410FE1D1-D4A0-F6E9-B3CB-40CFE76CB5E2}"/>
            </a:ext>
          </a:extLst>
        </xdr:cNvPr>
        <xdr:cNvSpPr txBox="1"/>
      </xdr:nvSpPr>
      <xdr:spPr>
        <a:xfrm>
          <a:off x="64697" y="639791"/>
          <a:ext cx="1092680" cy="776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182880" tIns="0" rIns="91440" bIns="91440" rtlCol="0" anchor="t"/>
        <a:lstStyle/>
        <a:p>
          <a:r>
            <a:rPr lang="en-IN" sz="1100" b="1">
              <a:solidFill>
                <a:sysClr val="windowText" lastClr="000000"/>
              </a:solidFill>
            </a:rPr>
            <a:t>HOSPITAL EMERGENCY</a:t>
          </a:r>
          <a:r>
            <a:rPr lang="en-IN" sz="1100" b="1" baseline="0">
              <a:solidFill>
                <a:sysClr val="windowText" lastClr="000000"/>
              </a:solidFill>
            </a:rPr>
            <a:t> </a:t>
          </a:r>
        </a:p>
        <a:p>
          <a:r>
            <a:rPr lang="en-IN" sz="1100" b="1" baseline="0">
              <a:solidFill>
                <a:sysClr val="windowText" lastClr="000000"/>
              </a:solidFill>
            </a:rPr>
            <a:t>ROOM DASHBOARD</a:t>
          </a:r>
          <a:endParaRPr lang="en-IN" sz="1100" b="1" baseline="0">
            <a:solidFill>
              <a:sysClr val="windowText" lastClr="000000"/>
            </a:solidFill>
            <a:latin typeface="+mn-lt"/>
            <a:ea typeface="+mn-ea"/>
            <a:cs typeface="+mn-cs"/>
          </a:endParaRPr>
        </a:p>
      </xdr:txBody>
    </xdr:sp>
    <xdr:clientData/>
  </xdr:twoCellAnchor>
  <xdr:twoCellAnchor editAs="absolute">
    <xdr:from>
      <xdr:col>2</xdr:col>
      <xdr:colOff>53078</xdr:colOff>
      <xdr:row>11</xdr:row>
      <xdr:rowOff>181569</xdr:rowOff>
    </xdr:from>
    <xdr:to>
      <xdr:col>9</xdr:col>
      <xdr:colOff>420542</xdr:colOff>
      <xdr:row>28</xdr:row>
      <xdr:rowOff>44921</xdr:rowOff>
    </xdr:to>
    <xdr:sp macro="" textlink="">
      <xdr:nvSpPr>
        <xdr:cNvPr id="13" name="Rectangle: Rounded Corners 12">
          <a:extLst>
            <a:ext uri="{FF2B5EF4-FFF2-40B4-BE49-F238E27FC236}">
              <a16:creationId xmlns:a16="http://schemas.microsoft.com/office/drawing/2014/main" id="{8D4DF11A-608E-E09A-9034-2DDCE803528B}"/>
            </a:ext>
          </a:extLst>
        </xdr:cNvPr>
        <xdr:cNvSpPr/>
      </xdr:nvSpPr>
      <xdr:spPr>
        <a:xfrm>
          <a:off x="1273758" y="2216035"/>
          <a:ext cx="4776706" cy="3007527"/>
        </a:xfrm>
        <a:prstGeom prst="roundRect">
          <a:avLst>
            <a:gd name="adj" fmla="val 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editAs="absolute">
    <xdr:from>
      <xdr:col>9</xdr:col>
      <xdr:colOff>465961</xdr:colOff>
      <xdr:row>15</xdr:row>
      <xdr:rowOff>20239</xdr:rowOff>
    </xdr:from>
    <xdr:to>
      <xdr:col>17</xdr:col>
      <xdr:colOff>340624</xdr:colOff>
      <xdr:row>28</xdr:row>
      <xdr:rowOff>14796</xdr:rowOff>
    </xdr:to>
    <xdr:sp macro="" textlink="">
      <xdr:nvSpPr>
        <xdr:cNvPr id="14" name="Rectangle: Rounded Corners 13">
          <a:extLst>
            <a:ext uri="{FF2B5EF4-FFF2-40B4-BE49-F238E27FC236}">
              <a16:creationId xmlns:a16="http://schemas.microsoft.com/office/drawing/2014/main" id="{EDD9A3EF-E53A-64A3-60A4-F205A47E59BE}"/>
            </a:ext>
          </a:extLst>
        </xdr:cNvPr>
        <xdr:cNvSpPr/>
      </xdr:nvSpPr>
      <xdr:spPr>
        <a:xfrm>
          <a:off x="6095883" y="2794511"/>
          <a:ext cx="4727790" cy="2398926"/>
        </a:xfrm>
        <a:prstGeom prst="roundRect">
          <a:avLst>
            <a:gd name="adj" fmla="val 1542"/>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editAs="oneCell">
    <xdr:from>
      <xdr:col>0</xdr:col>
      <xdr:colOff>201282</xdr:colOff>
      <xdr:row>0</xdr:row>
      <xdr:rowOff>0</xdr:rowOff>
    </xdr:from>
    <xdr:to>
      <xdr:col>1</xdr:col>
      <xdr:colOff>294735</xdr:colOff>
      <xdr:row>4</xdr:row>
      <xdr:rowOff>100641</xdr:rowOff>
    </xdr:to>
    <xdr:pic>
      <xdr:nvPicPr>
        <xdr:cNvPr id="17" name="Picture 16">
          <a:extLst>
            <a:ext uri="{FF2B5EF4-FFF2-40B4-BE49-F238E27FC236}">
              <a16:creationId xmlns:a16="http://schemas.microsoft.com/office/drawing/2014/main" id="{317FD716-424A-29E2-FF79-B328EBE5AF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222" r="17284" b="-21127"/>
        <a:stretch>
          <a:fillRect/>
        </a:stretch>
      </xdr:blipFill>
      <xdr:spPr>
        <a:xfrm>
          <a:off x="201282" y="0"/>
          <a:ext cx="704491" cy="819509"/>
        </a:xfrm>
        <a:prstGeom prst="rect">
          <a:avLst/>
        </a:prstGeom>
      </xdr:spPr>
    </xdr:pic>
    <xdr:clientData/>
  </xdr:twoCellAnchor>
  <xdr:twoCellAnchor editAs="absolute">
    <xdr:from>
      <xdr:col>2</xdr:col>
      <xdr:colOff>158150</xdr:colOff>
      <xdr:row>2</xdr:row>
      <xdr:rowOff>64697</xdr:rowOff>
    </xdr:from>
    <xdr:to>
      <xdr:col>4</xdr:col>
      <xdr:colOff>28754</xdr:colOff>
      <xdr:row>4</xdr:row>
      <xdr:rowOff>79075</xdr:rowOff>
    </xdr:to>
    <xdr:sp macro="" textlink="">
      <xdr:nvSpPr>
        <xdr:cNvPr id="18" name="TextBox 17">
          <a:extLst>
            <a:ext uri="{FF2B5EF4-FFF2-40B4-BE49-F238E27FC236}">
              <a16:creationId xmlns:a16="http://schemas.microsoft.com/office/drawing/2014/main" id="{53AB5EE8-EC6E-D2BC-6B97-9CE001951B39}"/>
            </a:ext>
          </a:extLst>
        </xdr:cNvPr>
        <xdr:cNvSpPr txBox="1"/>
      </xdr:nvSpPr>
      <xdr:spPr>
        <a:xfrm>
          <a:off x="1387414" y="424131"/>
          <a:ext cx="1092680" cy="373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182880" tIns="0" rIns="91440" bIns="91440" rtlCol="0" anchor="t"/>
        <a:lstStyle/>
        <a:p>
          <a:endParaRPr lang="en-IN" sz="1100" b="1" baseline="0">
            <a:solidFill>
              <a:sysClr val="windowText" lastClr="000000"/>
            </a:solidFill>
          </a:endParaRPr>
        </a:p>
      </xdr:txBody>
    </xdr:sp>
    <xdr:clientData/>
  </xdr:twoCellAnchor>
  <xdr:twoCellAnchor editAs="absolute">
    <xdr:from>
      <xdr:col>2</xdr:col>
      <xdr:colOff>165338</xdr:colOff>
      <xdr:row>3</xdr:row>
      <xdr:rowOff>129395</xdr:rowOff>
    </xdr:from>
    <xdr:to>
      <xdr:col>4</xdr:col>
      <xdr:colOff>35942</xdr:colOff>
      <xdr:row>5</xdr:row>
      <xdr:rowOff>143773</xdr:rowOff>
    </xdr:to>
    <xdr:sp macro="" textlink="">
      <xdr:nvSpPr>
        <xdr:cNvPr id="20" name="TextBox 19">
          <a:hlinkClick xmlns:r="http://schemas.openxmlformats.org/officeDocument/2006/relationships" r:id="rId2"/>
          <a:extLst>
            <a:ext uri="{FF2B5EF4-FFF2-40B4-BE49-F238E27FC236}">
              <a16:creationId xmlns:a16="http://schemas.microsoft.com/office/drawing/2014/main" id="{E104706A-C2E8-A35F-F8A1-7D4951A1D4F4}"/>
            </a:ext>
          </a:extLst>
        </xdr:cNvPr>
        <xdr:cNvSpPr txBox="1"/>
      </xdr:nvSpPr>
      <xdr:spPr>
        <a:xfrm>
          <a:off x="1394602" y="668546"/>
          <a:ext cx="1092680" cy="373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182880" tIns="0" rIns="91440" bIns="91440" rtlCol="0" anchor="t"/>
        <a:lstStyle/>
        <a:p>
          <a:endParaRPr lang="en-IN" sz="1100" b="1" baseline="0">
            <a:solidFill>
              <a:sysClr val="windowText" lastClr="000000"/>
            </a:solidFill>
          </a:endParaRPr>
        </a:p>
      </xdr:txBody>
    </xdr:sp>
    <xdr:clientData/>
  </xdr:twoCellAnchor>
  <xdr:twoCellAnchor editAs="absolute">
    <xdr:from>
      <xdr:col>2</xdr:col>
      <xdr:colOff>165338</xdr:colOff>
      <xdr:row>1</xdr:row>
      <xdr:rowOff>28753</xdr:rowOff>
    </xdr:from>
    <xdr:to>
      <xdr:col>4</xdr:col>
      <xdr:colOff>35942</xdr:colOff>
      <xdr:row>3</xdr:row>
      <xdr:rowOff>43131</xdr:rowOff>
    </xdr:to>
    <xdr:sp macro="" textlink="">
      <xdr:nvSpPr>
        <xdr:cNvPr id="22" name="TextBox 21">
          <a:extLst>
            <a:ext uri="{FF2B5EF4-FFF2-40B4-BE49-F238E27FC236}">
              <a16:creationId xmlns:a16="http://schemas.microsoft.com/office/drawing/2014/main" id="{BA88B1AE-F944-3DE0-B504-7DA2FBC99FA6}"/>
            </a:ext>
          </a:extLst>
        </xdr:cNvPr>
        <xdr:cNvSpPr txBox="1"/>
      </xdr:nvSpPr>
      <xdr:spPr>
        <a:xfrm>
          <a:off x="1394602" y="208470"/>
          <a:ext cx="1092680" cy="373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182880" tIns="0" rIns="91440" bIns="91440" rtlCol="0" anchor="t"/>
        <a:lstStyle/>
        <a:p>
          <a:endParaRPr lang="en-IN" sz="1100" b="1" baseline="0">
            <a:solidFill>
              <a:sysClr val="windowText" lastClr="000000"/>
            </a:solidFill>
          </a:endParaRPr>
        </a:p>
      </xdr:txBody>
    </xdr:sp>
    <xdr:clientData/>
  </xdr:twoCellAnchor>
  <xdr:twoCellAnchor editAs="absolute">
    <xdr:from>
      <xdr:col>2</xdr:col>
      <xdr:colOff>216447</xdr:colOff>
      <xdr:row>3</xdr:row>
      <xdr:rowOff>21565</xdr:rowOff>
    </xdr:from>
    <xdr:to>
      <xdr:col>4</xdr:col>
      <xdr:colOff>87051</xdr:colOff>
      <xdr:row>4</xdr:row>
      <xdr:rowOff>101175</xdr:rowOff>
    </xdr:to>
    <xdr:sp macro="" textlink="">
      <xdr:nvSpPr>
        <xdr:cNvPr id="23" name="TextBox 22">
          <a:extLst>
            <a:ext uri="{FF2B5EF4-FFF2-40B4-BE49-F238E27FC236}">
              <a16:creationId xmlns:a16="http://schemas.microsoft.com/office/drawing/2014/main" id="{890B2AA1-17E7-4139-8341-90D358434027}"/>
            </a:ext>
          </a:extLst>
        </xdr:cNvPr>
        <xdr:cNvSpPr txBox="1"/>
      </xdr:nvSpPr>
      <xdr:spPr>
        <a:xfrm>
          <a:off x="1445711" y="560716"/>
          <a:ext cx="1092680" cy="259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182880" tIns="0" rIns="91440" bIns="91440" rtlCol="0" anchor="t"/>
        <a:lstStyle/>
        <a:p>
          <a:endParaRPr lang="en-IN" sz="1100" b="1" baseline="0">
            <a:solidFill>
              <a:sysClr val="windowText" lastClr="000000"/>
            </a:solidFill>
          </a:endParaRPr>
        </a:p>
      </xdr:txBody>
    </xdr:sp>
    <xdr:clientData/>
  </xdr:twoCellAnchor>
  <xdr:twoCellAnchor editAs="absolute">
    <xdr:from>
      <xdr:col>2</xdr:col>
      <xdr:colOff>28755</xdr:colOff>
      <xdr:row>2</xdr:row>
      <xdr:rowOff>129396</xdr:rowOff>
    </xdr:from>
    <xdr:to>
      <xdr:col>4</xdr:col>
      <xdr:colOff>208470</xdr:colOff>
      <xdr:row>4</xdr:row>
      <xdr:rowOff>100641</xdr:rowOff>
    </xdr:to>
    <xdr:sp macro="" textlink="">
      <xdr:nvSpPr>
        <xdr:cNvPr id="24" name="TextBox 23">
          <a:extLst>
            <a:ext uri="{FF2B5EF4-FFF2-40B4-BE49-F238E27FC236}">
              <a16:creationId xmlns:a16="http://schemas.microsoft.com/office/drawing/2014/main" id="{1310849D-8544-9D2A-881E-C835771C7692}"/>
            </a:ext>
          </a:extLst>
        </xdr:cNvPr>
        <xdr:cNvSpPr txBox="1"/>
      </xdr:nvSpPr>
      <xdr:spPr>
        <a:xfrm>
          <a:off x="1258019" y="488830"/>
          <a:ext cx="1401791" cy="3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182880" tIns="0" rIns="91440" bIns="91440" rtlCol="0" anchor="ctr"/>
        <a:lstStyle/>
        <a:p>
          <a:pPr marL="0" indent="0" algn="ctr"/>
          <a:r>
            <a:rPr lang="en-IN" sz="1100" b="1">
              <a:solidFill>
                <a:sysClr val="windowText" lastClr="000000"/>
              </a:solidFill>
              <a:latin typeface="+mn-lt"/>
              <a:ea typeface="+mn-ea"/>
              <a:cs typeface="+mn-cs"/>
            </a:rPr>
            <a:t>No.of Patient</a:t>
          </a:r>
        </a:p>
      </xdr:txBody>
    </xdr:sp>
    <xdr:clientData/>
  </xdr:twoCellAnchor>
  <xdr:twoCellAnchor editAs="absolute">
    <xdr:from>
      <xdr:col>2</xdr:col>
      <xdr:colOff>28754</xdr:colOff>
      <xdr:row>1</xdr:row>
      <xdr:rowOff>7189</xdr:rowOff>
    </xdr:from>
    <xdr:to>
      <xdr:col>4</xdr:col>
      <xdr:colOff>215659</xdr:colOff>
      <xdr:row>2</xdr:row>
      <xdr:rowOff>150962</xdr:rowOff>
    </xdr:to>
    <xdr:sp macro="" textlink="'Pivot Report'!A8">
      <xdr:nvSpPr>
        <xdr:cNvPr id="25" name="TextBox 24">
          <a:extLst>
            <a:ext uri="{FF2B5EF4-FFF2-40B4-BE49-F238E27FC236}">
              <a16:creationId xmlns:a16="http://schemas.microsoft.com/office/drawing/2014/main" id="{DE2C60BA-2BE5-8A32-A0E4-6E43BEEEF607}"/>
            </a:ext>
          </a:extLst>
        </xdr:cNvPr>
        <xdr:cNvSpPr txBox="1"/>
      </xdr:nvSpPr>
      <xdr:spPr>
        <a:xfrm>
          <a:off x="1258018" y="186906"/>
          <a:ext cx="1408981" cy="323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182880" tIns="0" rIns="91440" bIns="91440" rtlCol="0" anchor="ctr"/>
        <a:lstStyle/>
        <a:p>
          <a:pPr algn="ctr"/>
          <a:fld id="{ABC511BD-8F88-4C9B-A799-D9DB6E829D81}" type="TxLink">
            <a:rPr lang="en-US" sz="2400" b="1" i="0" u="none" strike="noStrike" baseline="0">
              <a:solidFill>
                <a:srgbClr val="000000"/>
              </a:solidFill>
              <a:latin typeface="Calibri"/>
              <a:ea typeface="Calibri"/>
              <a:cs typeface="Calibri"/>
            </a:rPr>
            <a:pPr algn="ctr"/>
            <a:t>485</a:t>
          </a:fld>
          <a:endParaRPr lang="en-US" sz="2400" b="1" baseline="0"/>
        </a:p>
      </xdr:txBody>
    </xdr:sp>
    <xdr:clientData/>
  </xdr:twoCellAnchor>
  <xdr:twoCellAnchor editAs="absolute">
    <xdr:from>
      <xdr:col>6</xdr:col>
      <xdr:colOff>122086</xdr:colOff>
      <xdr:row>1</xdr:row>
      <xdr:rowOff>7189</xdr:rowOff>
    </xdr:from>
    <xdr:to>
      <xdr:col>7</xdr:col>
      <xdr:colOff>1089579</xdr:colOff>
      <xdr:row>2</xdr:row>
      <xdr:rowOff>93453</xdr:rowOff>
    </xdr:to>
    <xdr:sp macro="" textlink="'Pivot Report'!A13">
      <xdr:nvSpPr>
        <xdr:cNvPr id="26" name="TextBox 25">
          <a:extLst>
            <a:ext uri="{FF2B5EF4-FFF2-40B4-BE49-F238E27FC236}">
              <a16:creationId xmlns:a16="http://schemas.microsoft.com/office/drawing/2014/main" id="{15F36C00-88CF-6C59-8EBA-CE31AAA74A55}"/>
            </a:ext>
          </a:extLst>
        </xdr:cNvPr>
        <xdr:cNvSpPr txBox="1"/>
      </xdr:nvSpPr>
      <xdr:spPr>
        <a:xfrm>
          <a:off x="3119887" y="186906"/>
          <a:ext cx="1214888" cy="26598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71D5E8-B30C-43C0-B5F2-B2341060A160}" type="TxLink">
            <a:rPr lang="en-US" sz="2400" b="1" i="0" u="none" strike="noStrike">
              <a:solidFill>
                <a:srgbClr val="000000"/>
              </a:solidFill>
              <a:latin typeface="Calibri"/>
              <a:ea typeface="Calibri"/>
              <a:cs typeface="Calibri"/>
            </a:rPr>
            <a:pPr algn="ctr"/>
            <a:t>35.51</a:t>
          </a:fld>
          <a:endParaRPr lang="en-IN" sz="2400" b="1"/>
        </a:p>
      </xdr:txBody>
    </xdr:sp>
    <xdr:clientData/>
  </xdr:twoCellAnchor>
  <xdr:twoCellAnchor editAs="absolute">
    <xdr:from>
      <xdr:col>4</xdr:col>
      <xdr:colOff>496018</xdr:colOff>
      <xdr:row>2</xdr:row>
      <xdr:rowOff>143773</xdr:rowOff>
    </xdr:from>
    <xdr:to>
      <xdr:col>7</xdr:col>
      <xdr:colOff>1118331</xdr:colOff>
      <xdr:row>4</xdr:row>
      <xdr:rowOff>86264</xdr:rowOff>
    </xdr:to>
    <xdr:sp macro="" textlink="'Pivot Report'!A13">
      <xdr:nvSpPr>
        <xdr:cNvPr id="27" name="TextBox 26">
          <a:extLst>
            <a:ext uri="{FF2B5EF4-FFF2-40B4-BE49-F238E27FC236}">
              <a16:creationId xmlns:a16="http://schemas.microsoft.com/office/drawing/2014/main" id="{8552E373-FECC-6F12-7B41-7B3233011176}"/>
            </a:ext>
          </a:extLst>
        </xdr:cNvPr>
        <xdr:cNvSpPr txBox="1"/>
      </xdr:nvSpPr>
      <xdr:spPr>
        <a:xfrm>
          <a:off x="2947358" y="503207"/>
          <a:ext cx="1416169" cy="3019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Avg.Wait</a:t>
          </a:r>
          <a:r>
            <a:rPr lang="en-IN" sz="1100" b="1" baseline="0"/>
            <a:t> Time(Min)</a:t>
          </a:r>
          <a:endParaRPr lang="en-IN" sz="1100" b="1"/>
        </a:p>
      </xdr:txBody>
    </xdr:sp>
    <xdr:clientData/>
  </xdr:twoCellAnchor>
  <xdr:twoCellAnchor editAs="absolute">
    <xdr:from>
      <xdr:col>7</xdr:col>
      <xdr:colOff>1370807</xdr:colOff>
      <xdr:row>0</xdr:row>
      <xdr:rowOff>158151</xdr:rowOff>
    </xdr:from>
    <xdr:to>
      <xdr:col>9</xdr:col>
      <xdr:colOff>323930</xdr:colOff>
      <xdr:row>2</xdr:row>
      <xdr:rowOff>100642</xdr:rowOff>
    </xdr:to>
    <xdr:sp macro="" textlink="'Pivot Report'!A17">
      <xdr:nvSpPr>
        <xdr:cNvPr id="28" name="TextBox 27">
          <a:extLst>
            <a:ext uri="{FF2B5EF4-FFF2-40B4-BE49-F238E27FC236}">
              <a16:creationId xmlns:a16="http://schemas.microsoft.com/office/drawing/2014/main" id="{6D625FC3-56B3-A507-F061-102157199E62}"/>
            </a:ext>
          </a:extLst>
        </xdr:cNvPr>
        <xdr:cNvSpPr txBox="1"/>
      </xdr:nvSpPr>
      <xdr:spPr>
        <a:xfrm>
          <a:off x="4615132" y="158151"/>
          <a:ext cx="1373038" cy="3019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9C8018-4DE7-4373-B45C-65711900C4D1}" type="TxLink">
            <a:rPr lang="en-US" sz="2400" b="1" i="0" u="none" strike="noStrike">
              <a:solidFill>
                <a:srgbClr val="000000"/>
              </a:solidFill>
              <a:latin typeface="Calibri"/>
              <a:ea typeface="Calibri"/>
              <a:cs typeface="Calibri"/>
            </a:rPr>
            <a:pPr algn="ctr"/>
            <a:t>4.71</a:t>
          </a:fld>
          <a:endParaRPr lang="en-IN" sz="4800" b="1"/>
        </a:p>
      </xdr:txBody>
    </xdr:sp>
    <xdr:clientData/>
  </xdr:twoCellAnchor>
  <xdr:twoCellAnchor editAs="absolute">
    <xdr:from>
      <xdr:col>7</xdr:col>
      <xdr:colOff>1262978</xdr:colOff>
      <xdr:row>2</xdr:row>
      <xdr:rowOff>100640</xdr:rowOff>
    </xdr:from>
    <xdr:to>
      <xdr:col>9</xdr:col>
      <xdr:colOff>403006</xdr:colOff>
      <xdr:row>5</xdr:row>
      <xdr:rowOff>7188</xdr:rowOff>
    </xdr:to>
    <xdr:sp macro="" textlink="'Pivot Report'!A17">
      <xdr:nvSpPr>
        <xdr:cNvPr id="29" name="TextBox 28">
          <a:extLst>
            <a:ext uri="{FF2B5EF4-FFF2-40B4-BE49-F238E27FC236}">
              <a16:creationId xmlns:a16="http://schemas.microsoft.com/office/drawing/2014/main" id="{8498E89A-F7AC-61B4-7AAD-D81E54113763}"/>
            </a:ext>
          </a:extLst>
        </xdr:cNvPr>
        <xdr:cNvSpPr txBox="1"/>
      </xdr:nvSpPr>
      <xdr:spPr>
        <a:xfrm>
          <a:off x="4507303" y="460074"/>
          <a:ext cx="1559943" cy="44569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Patient Satisfication score</a:t>
          </a:r>
        </a:p>
      </xdr:txBody>
    </xdr:sp>
    <xdr:clientData/>
  </xdr:twoCellAnchor>
  <xdr:twoCellAnchor editAs="absolute">
    <xdr:from>
      <xdr:col>2</xdr:col>
      <xdr:colOff>28756</xdr:colOff>
      <xdr:row>0</xdr:row>
      <xdr:rowOff>86264</xdr:rowOff>
    </xdr:from>
    <xdr:to>
      <xdr:col>2</xdr:col>
      <xdr:colOff>467266</xdr:colOff>
      <xdr:row>2</xdr:row>
      <xdr:rowOff>129396</xdr:rowOff>
    </xdr:to>
    <xdr:pic>
      <xdr:nvPicPr>
        <xdr:cNvPr id="31" name="Graphic 30" descr="Male profile with solid fill">
          <a:extLst>
            <a:ext uri="{FF2B5EF4-FFF2-40B4-BE49-F238E27FC236}">
              <a16:creationId xmlns:a16="http://schemas.microsoft.com/office/drawing/2014/main" id="{6BC1CF61-5957-8EE4-B9F3-93FC8D2ABA0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58020" y="86264"/>
          <a:ext cx="438510" cy="402566"/>
        </a:xfrm>
        <a:prstGeom prst="rect">
          <a:avLst/>
        </a:prstGeom>
      </xdr:spPr>
    </xdr:pic>
    <xdr:clientData/>
  </xdr:twoCellAnchor>
  <xdr:twoCellAnchor editAs="absolute">
    <xdr:from>
      <xdr:col>4</xdr:col>
      <xdr:colOff>481641</xdr:colOff>
      <xdr:row>0</xdr:row>
      <xdr:rowOff>100642</xdr:rowOff>
    </xdr:from>
    <xdr:to>
      <xdr:col>7</xdr:col>
      <xdr:colOff>99544</xdr:colOff>
      <xdr:row>2</xdr:row>
      <xdr:rowOff>150961</xdr:rowOff>
    </xdr:to>
    <xdr:pic>
      <xdr:nvPicPr>
        <xdr:cNvPr id="33" name="Graphic 32" descr="Clock with solid fill">
          <a:extLst>
            <a:ext uri="{FF2B5EF4-FFF2-40B4-BE49-F238E27FC236}">
              <a16:creationId xmlns:a16="http://schemas.microsoft.com/office/drawing/2014/main" id="{7902B6CB-762C-E628-5852-E3654418E0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932981" y="100642"/>
          <a:ext cx="409754" cy="409753"/>
        </a:xfrm>
        <a:prstGeom prst="rect">
          <a:avLst/>
        </a:prstGeom>
      </xdr:spPr>
    </xdr:pic>
    <xdr:clientData/>
  </xdr:twoCellAnchor>
  <xdr:twoCellAnchor editAs="absolute">
    <xdr:from>
      <xdr:col>7</xdr:col>
      <xdr:colOff>1291733</xdr:colOff>
      <xdr:row>0</xdr:row>
      <xdr:rowOff>122209</xdr:rowOff>
    </xdr:from>
    <xdr:to>
      <xdr:col>7</xdr:col>
      <xdr:colOff>1661492</xdr:colOff>
      <xdr:row>2</xdr:row>
      <xdr:rowOff>122209</xdr:rowOff>
    </xdr:to>
    <xdr:pic>
      <xdr:nvPicPr>
        <xdr:cNvPr id="35" name="Graphic 34" descr="Hourglass Finished with solid fill">
          <a:extLst>
            <a:ext uri="{FF2B5EF4-FFF2-40B4-BE49-F238E27FC236}">
              <a16:creationId xmlns:a16="http://schemas.microsoft.com/office/drawing/2014/main" id="{0DF55F9C-A614-D514-FDA6-1D56968183B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36058" y="122209"/>
          <a:ext cx="373811" cy="359434"/>
        </a:xfrm>
        <a:prstGeom prst="rect">
          <a:avLst/>
        </a:prstGeom>
      </xdr:spPr>
    </xdr:pic>
    <xdr:clientData/>
  </xdr:twoCellAnchor>
  <xdr:twoCellAnchor editAs="absolute">
    <xdr:from>
      <xdr:col>9</xdr:col>
      <xdr:colOff>43571</xdr:colOff>
      <xdr:row>0</xdr:row>
      <xdr:rowOff>165340</xdr:rowOff>
    </xdr:from>
    <xdr:to>
      <xdr:col>9</xdr:col>
      <xdr:colOff>339746</xdr:colOff>
      <xdr:row>2</xdr:row>
      <xdr:rowOff>57510</xdr:rowOff>
    </xdr:to>
    <xdr:pic>
      <xdr:nvPicPr>
        <xdr:cNvPr id="37" name="Graphic 36" descr="Customer review with solid fill">
          <a:extLst>
            <a:ext uri="{FF2B5EF4-FFF2-40B4-BE49-F238E27FC236}">
              <a16:creationId xmlns:a16="http://schemas.microsoft.com/office/drawing/2014/main" id="{C1A1CA65-4CF2-55DA-E554-3D41711294F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707811" y="165340"/>
          <a:ext cx="296175" cy="251604"/>
        </a:xfrm>
        <a:prstGeom prst="rect">
          <a:avLst/>
        </a:prstGeom>
      </xdr:spPr>
    </xdr:pic>
    <xdr:clientData/>
  </xdr:twoCellAnchor>
  <xdr:twoCellAnchor editAs="oneCell">
    <xdr:from>
      <xdr:col>0</xdr:col>
      <xdr:colOff>139534</xdr:colOff>
      <xdr:row>8</xdr:row>
      <xdr:rowOff>156734</xdr:rowOff>
    </xdr:from>
    <xdr:to>
      <xdr:col>1</xdr:col>
      <xdr:colOff>435428</xdr:colOff>
      <xdr:row>28</xdr:row>
      <xdr:rowOff>20725</xdr:rowOff>
    </xdr:to>
    <mc:AlternateContent xmlns:mc="http://schemas.openxmlformats.org/markup-compatibility/2006" xmlns:a14="http://schemas.microsoft.com/office/drawing/2010/main">
      <mc:Choice Requires="a14">
        <xdr:graphicFrame macro="">
          <xdr:nvGraphicFramePr>
            <xdr:cNvPr id="38" name="Date (Month)">
              <a:extLst>
                <a:ext uri="{FF2B5EF4-FFF2-40B4-BE49-F238E27FC236}">
                  <a16:creationId xmlns:a16="http://schemas.microsoft.com/office/drawing/2014/main" id="{0315EEAC-AD3C-4274-A882-F1881A1334A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9534" y="1636346"/>
              <a:ext cx="902535" cy="356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31750</xdr:colOff>
      <xdr:row>3</xdr:row>
      <xdr:rowOff>158750</xdr:rowOff>
    </xdr:from>
    <xdr:to>
      <xdr:col>4</xdr:col>
      <xdr:colOff>293687</xdr:colOff>
      <xdr:row>7</xdr:row>
      <xdr:rowOff>95250</xdr:rowOff>
    </xdr:to>
    <xdr:graphicFrame macro="">
      <xdr:nvGraphicFramePr>
        <xdr:cNvPr id="39" name="Chart 38">
          <a:hlinkClick xmlns:r="http://schemas.openxmlformats.org/officeDocument/2006/relationships" r:id="rId2"/>
          <a:extLst>
            <a:ext uri="{FF2B5EF4-FFF2-40B4-BE49-F238E27FC236}">
              <a16:creationId xmlns:a16="http://schemas.microsoft.com/office/drawing/2014/main" id="{EB088AF1-FE39-4D2F-9E00-DD7D138CC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4</xdr:col>
      <xdr:colOff>462914</xdr:colOff>
      <xdr:row>4</xdr:row>
      <xdr:rowOff>7938</xdr:rowOff>
    </xdr:from>
    <xdr:to>
      <xdr:col>7</xdr:col>
      <xdr:colOff>1123076</xdr:colOff>
      <xdr:row>7</xdr:row>
      <xdr:rowOff>89535</xdr:rowOff>
    </xdr:to>
    <xdr:graphicFrame macro="">
      <xdr:nvGraphicFramePr>
        <xdr:cNvPr id="41" name="Chart 40">
          <a:hlinkClick xmlns:r="http://schemas.openxmlformats.org/officeDocument/2006/relationships" r:id="rId12"/>
          <a:extLst>
            <a:ext uri="{FF2B5EF4-FFF2-40B4-BE49-F238E27FC236}">
              <a16:creationId xmlns:a16="http://schemas.microsoft.com/office/drawing/2014/main" id="{61509986-26AE-43AB-866C-B2A272831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1233715</xdr:colOff>
      <xdr:row>4</xdr:row>
      <xdr:rowOff>81644</xdr:rowOff>
    </xdr:from>
    <xdr:to>
      <xdr:col>9</xdr:col>
      <xdr:colOff>453571</xdr:colOff>
      <xdr:row>7</xdr:row>
      <xdr:rowOff>117930</xdr:rowOff>
    </xdr:to>
    <xdr:graphicFrame macro="">
      <xdr:nvGraphicFramePr>
        <xdr:cNvPr id="3" name="Chart 2">
          <a:hlinkClick xmlns:r="http://schemas.openxmlformats.org/officeDocument/2006/relationships" r:id="rId14"/>
          <a:extLst>
            <a:ext uri="{FF2B5EF4-FFF2-40B4-BE49-F238E27FC236}">
              <a16:creationId xmlns:a16="http://schemas.microsoft.com/office/drawing/2014/main" id="{7E4BB15B-B70C-44B2-BF51-191132536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34981</xdr:colOff>
          <xdr:row>8</xdr:row>
          <xdr:rowOff>62613</xdr:rowOff>
        </xdr:from>
        <xdr:to>
          <xdr:col>9</xdr:col>
          <xdr:colOff>438690</xdr:colOff>
          <xdr:row>11</xdr:row>
          <xdr:rowOff>121480</xdr:rowOff>
        </xdr:to>
        <xdr:pic>
          <xdr:nvPicPr>
            <xdr:cNvPr id="44" name="Picture 43">
              <a:extLst>
                <a:ext uri="{FF2B5EF4-FFF2-40B4-BE49-F238E27FC236}">
                  <a16:creationId xmlns:a16="http://schemas.microsoft.com/office/drawing/2014/main" id="{0F1F565D-4E5E-BE9D-5824-DA205F33AA5C}"/>
                </a:ext>
              </a:extLst>
            </xdr:cNvPr>
            <xdr:cNvPicPr>
              <a:picLocks noChangeAspect="1" noChangeArrowheads="1"/>
              <a:extLst>
                <a:ext uri="{84589F7E-364E-4C9E-8A38-B11213B215E9}">
                  <a14:cameraTool cellRange="'Pivot Report'!$R$13:$U$15" spid="_x0000_s1054"/>
                </a:ext>
              </a:extLst>
            </xdr:cNvPicPr>
          </xdr:nvPicPr>
          <xdr:blipFill>
            <a:blip xmlns:r="http://schemas.openxmlformats.org/officeDocument/2006/relationships" r:embed="rId16"/>
            <a:srcRect/>
            <a:stretch>
              <a:fillRect/>
            </a:stretch>
          </xdr:blipFill>
          <xdr:spPr bwMode="auto">
            <a:xfrm>
              <a:off x="1255661" y="1542225"/>
              <a:ext cx="4812951" cy="61372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67874</xdr:colOff>
      <xdr:row>11</xdr:row>
      <xdr:rowOff>122384</xdr:rowOff>
    </xdr:from>
    <xdr:to>
      <xdr:col>9</xdr:col>
      <xdr:colOff>420624</xdr:colOff>
      <xdr:row>25</xdr:row>
      <xdr:rowOff>73152</xdr:rowOff>
    </xdr:to>
    <xdr:graphicFrame macro="">
      <xdr:nvGraphicFramePr>
        <xdr:cNvPr id="45" name="Chart 44">
          <a:extLst>
            <a:ext uri="{FF2B5EF4-FFF2-40B4-BE49-F238E27FC236}">
              <a16:creationId xmlns:a16="http://schemas.microsoft.com/office/drawing/2014/main" id="{46D5DB63-BE1A-42A2-B0CA-4F554BEAE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4</xdr:col>
      <xdr:colOff>229837</xdr:colOff>
      <xdr:row>26</xdr:row>
      <xdr:rowOff>129</xdr:rowOff>
    </xdr:from>
    <xdr:to>
      <xdr:col>7</xdr:col>
      <xdr:colOff>1476373</xdr:colOff>
      <xdr:row>27</xdr:row>
      <xdr:rowOff>52917</xdr:rowOff>
    </xdr:to>
    <xdr:sp macro="" textlink="">
      <xdr:nvSpPr>
        <xdr:cNvPr id="46" name="TextBox 45">
          <a:extLst>
            <a:ext uri="{FF2B5EF4-FFF2-40B4-BE49-F238E27FC236}">
              <a16:creationId xmlns:a16="http://schemas.microsoft.com/office/drawing/2014/main" id="{2CFC3B06-6613-9D40-4761-55376F43A206}"/>
            </a:ext>
          </a:extLst>
        </xdr:cNvPr>
        <xdr:cNvSpPr txBox="1"/>
      </xdr:nvSpPr>
      <xdr:spPr>
        <a:xfrm>
          <a:off x="2674587" y="4807230"/>
          <a:ext cx="2029703" cy="246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182880" tIns="0" rIns="91440" bIns="91440" rtlCol="0" anchor="ctr"/>
        <a:lstStyle/>
        <a:p>
          <a:pPr marL="0" indent="0" algn="ctr"/>
          <a:r>
            <a:rPr lang="en-IN" sz="1200" b="1">
              <a:solidFill>
                <a:sysClr val="windowText" lastClr="000000"/>
              </a:solidFill>
              <a:latin typeface="+mn-lt"/>
              <a:ea typeface="+mn-ea"/>
              <a:cs typeface="+mn-cs"/>
            </a:rPr>
            <a:t>No.of Patient</a:t>
          </a:r>
          <a:r>
            <a:rPr lang="en-IN" sz="1200" b="1" baseline="0">
              <a:solidFill>
                <a:sysClr val="windowText" lastClr="000000"/>
              </a:solidFill>
              <a:latin typeface="+mn-lt"/>
              <a:ea typeface="+mn-ea"/>
              <a:cs typeface="+mn-cs"/>
            </a:rPr>
            <a:t> by Age group</a:t>
          </a:r>
          <a:endParaRPr lang="en-IN" sz="1200" b="1">
            <a:solidFill>
              <a:sysClr val="windowText" lastClr="000000"/>
            </a:solidFill>
            <a:latin typeface="+mn-lt"/>
            <a:ea typeface="+mn-ea"/>
            <a:cs typeface="+mn-cs"/>
          </a:endParaRPr>
        </a:p>
      </xdr:txBody>
    </xdr:sp>
    <xdr:clientData/>
  </xdr:twoCellAnchor>
  <xdr:twoCellAnchor>
    <xdr:from>
      <xdr:col>9</xdr:col>
      <xdr:colOff>479197</xdr:colOff>
      <xdr:row>2</xdr:row>
      <xdr:rowOff>152400</xdr:rowOff>
    </xdr:from>
    <xdr:to>
      <xdr:col>13</xdr:col>
      <xdr:colOff>442687</xdr:colOff>
      <xdr:row>14</xdr:row>
      <xdr:rowOff>171337</xdr:rowOff>
    </xdr:to>
    <xdr:graphicFrame macro="">
      <xdr:nvGraphicFramePr>
        <xdr:cNvPr id="47" name="Chart 46">
          <a:extLst>
            <a:ext uri="{FF2B5EF4-FFF2-40B4-BE49-F238E27FC236}">
              <a16:creationId xmlns:a16="http://schemas.microsoft.com/office/drawing/2014/main" id="{070A50D8-7EFE-4C47-BADA-194E0B041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539693</xdr:colOff>
      <xdr:row>13</xdr:row>
      <xdr:rowOff>12607</xdr:rowOff>
    </xdr:from>
    <xdr:to>
      <xdr:col>13</xdr:col>
      <xdr:colOff>287196</xdr:colOff>
      <xdr:row>14</xdr:row>
      <xdr:rowOff>166069</xdr:rowOff>
    </xdr:to>
    <xdr:sp macro="" textlink="">
      <xdr:nvSpPr>
        <xdr:cNvPr id="48" name="TextBox 47">
          <a:extLst>
            <a:ext uri="{FF2B5EF4-FFF2-40B4-BE49-F238E27FC236}">
              <a16:creationId xmlns:a16="http://schemas.microsoft.com/office/drawing/2014/main" id="{74776149-D636-043D-E173-F41F2BA736FB}"/>
            </a:ext>
          </a:extLst>
        </xdr:cNvPr>
        <xdr:cNvSpPr txBox="1"/>
      </xdr:nvSpPr>
      <xdr:spPr>
        <a:xfrm>
          <a:off x="6196715" y="2381433"/>
          <a:ext cx="2199155" cy="335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182880" tIns="0" rIns="91440" bIns="91440" rtlCol="0" anchor="ctr"/>
        <a:lstStyle/>
        <a:p>
          <a:pPr marL="0" indent="0" algn="ctr"/>
          <a:r>
            <a:rPr lang="en-IN" sz="1100" b="1">
              <a:solidFill>
                <a:sysClr val="windowText" lastClr="000000"/>
              </a:solidFill>
              <a:latin typeface="+mn-lt"/>
              <a:ea typeface="+mn-ea"/>
              <a:cs typeface="+mn-cs"/>
            </a:rPr>
            <a:t>Patient</a:t>
          </a:r>
          <a:r>
            <a:rPr lang="en-IN" sz="1100" b="1" baseline="0">
              <a:solidFill>
                <a:sysClr val="windowText" lastClr="000000"/>
              </a:solidFill>
              <a:latin typeface="+mn-lt"/>
              <a:ea typeface="+mn-ea"/>
              <a:cs typeface="+mn-cs"/>
            </a:rPr>
            <a:t> Attended by within Time</a:t>
          </a:r>
          <a:endParaRPr lang="en-IN" sz="1100" b="1">
            <a:solidFill>
              <a:sysClr val="windowText" lastClr="000000"/>
            </a:solidFill>
            <a:latin typeface="+mn-lt"/>
            <a:ea typeface="+mn-ea"/>
            <a:cs typeface="+mn-cs"/>
          </a:endParaRPr>
        </a:p>
      </xdr:txBody>
    </xdr:sp>
    <xdr:clientData/>
  </xdr:twoCellAnchor>
  <xdr:twoCellAnchor>
    <xdr:from>
      <xdr:col>13</xdr:col>
      <xdr:colOff>471340</xdr:colOff>
      <xdr:row>2</xdr:row>
      <xdr:rowOff>137727</xdr:rowOff>
    </xdr:from>
    <xdr:to>
      <xdr:col>17</xdr:col>
      <xdr:colOff>349578</xdr:colOff>
      <xdr:row>15</xdr:row>
      <xdr:rowOff>0</xdr:rowOff>
    </xdr:to>
    <xdr:graphicFrame macro="">
      <xdr:nvGraphicFramePr>
        <xdr:cNvPr id="49" name="Chart 48">
          <a:extLst>
            <a:ext uri="{FF2B5EF4-FFF2-40B4-BE49-F238E27FC236}">
              <a16:creationId xmlns:a16="http://schemas.microsoft.com/office/drawing/2014/main" id="{1725D62C-BBD6-4C62-AC13-955E9B1F3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13</xdr:col>
      <xdr:colOff>460180</xdr:colOff>
      <xdr:row>13</xdr:row>
      <xdr:rowOff>25859</xdr:rowOff>
    </xdr:from>
    <xdr:to>
      <xdr:col>17</xdr:col>
      <xdr:colOff>207683</xdr:colOff>
      <xdr:row>15</xdr:row>
      <xdr:rowOff>1521</xdr:rowOff>
    </xdr:to>
    <xdr:sp macro="" textlink="">
      <xdr:nvSpPr>
        <xdr:cNvPr id="50" name="TextBox 49">
          <a:extLst>
            <a:ext uri="{FF2B5EF4-FFF2-40B4-BE49-F238E27FC236}">
              <a16:creationId xmlns:a16="http://schemas.microsoft.com/office/drawing/2014/main" id="{ECA55F1F-93DE-541E-BAEB-F3B3F6840F27}"/>
            </a:ext>
          </a:extLst>
        </xdr:cNvPr>
        <xdr:cNvSpPr txBox="1"/>
      </xdr:nvSpPr>
      <xdr:spPr>
        <a:xfrm>
          <a:off x="8550632" y="2437755"/>
          <a:ext cx="2185903" cy="338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182880" tIns="0" rIns="91440" bIns="91440" rtlCol="0" anchor="ctr"/>
        <a:lstStyle/>
        <a:p>
          <a:pPr marL="0" indent="0" algn="ctr"/>
          <a:r>
            <a:rPr lang="en-IN" sz="1100" b="1">
              <a:solidFill>
                <a:sysClr val="windowText" lastClr="000000"/>
              </a:solidFill>
              <a:latin typeface="+mn-lt"/>
              <a:ea typeface="+mn-ea"/>
              <a:cs typeface="+mn-cs"/>
            </a:rPr>
            <a:t>Gender</a:t>
          </a:r>
          <a:r>
            <a:rPr lang="en-IN" sz="1100" b="1" baseline="0">
              <a:solidFill>
                <a:sysClr val="windowText" lastClr="000000"/>
              </a:solidFill>
              <a:latin typeface="+mn-lt"/>
              <a:ea typeface="+mn-ea"/>
              <a:cs typeface="+mn-cs"/>
            </a:rPr>
            <a:t> Wise Analysis</a:t>
          </a:r>
          <a:endParaRPr lang="en-IN" sz="1100" b="1">
            <a:solidFill>
              <a:sysClr val="windowText" lastClr="000000"/>
            </a:solidFill>
            <a:latin typeface="+mn-lt"/>
            <a:ea typeface="+mn-ea"/>
            <a:cs typeface="+mn-cs"/>
          </a:endParaRPr>
        </a:p>
      </xdr:txBody>
    </xdr:sp>
    <xdr:clientData/>
  </xdr:twoCellAnchor>
  <xdr:twoCellAnchor>
    <xdr:from>
      <xdr:col>9</xdr:col>
      <xdr:colOff>460597</xdr:colOff>
      <xdr:row>15</xdr:row>
      <xdr:rowOff>31598</xdr:rowOff>
    </xdr:from>
    <xdr:to>
      <xdr:col>17</xdr:col>
      <xdr:colOff>324678</xdr:colOff>
      <xdr:row>26</xdr:row>
      <xdr:rowOff>59184</xdr:rowOff>
    </xdr:to>
    <xdr:graphicFrame macro="">
      <xdr:nvGraphicFramePr>
        <xdr:cNvPr id="51" name="Chart 50">
          <a:extLst>
            <a:ext uri="{FF2B5EF4-FFF2-40B4-BE49-F238E27FC236}">
              <a16:creationId xmlns:a16="http://schemas.microsoft.com/office/drawing/2014/main" id="{193CADA1-90EC-4226-8C21-4A03D3412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11</xdr:col>
      <xdr:colOff>296418</xdr:colOff>
      <xdr:row>25</xdr:row>
      <xdr:rowOff>148090</xdr:rowOff>
    </xdr:from>
    <xdr:to>
      <xdr:col>16</xdr:col>
      <xdr:colOff>81377</xdr:colOff>
      <xdr:row>27</xdr:row>
      <xdr:rowOff>88777</xdr:rowOff>
    </xdr:to>
    <xdr:sp macro="" textlink="">
      <xdr:nvSpPr>
        <xdr:cNvPr id="52" name="TextBox 51">
          <a:extLst>
            <a:ext uri="{FF2B5EF4-FFF2-40B4-BE49-F238E27FC236}">
              <a16:creationId xmlns:a16="http://schemas.microsoft.com/office/drawing/2014/main" id="{8E72A3C6-A969-5824-0495-F36EF6F14E17}"/>
            </a:ext>
          </a:extLst>
        </xdr:cNvPr>
        <xdr:cNvSpPr txBox="1"/>
      </xdr:nvSpPr>
      <xdr:spPr>
        <a:xfrm>
          <a:off x="7139622" y="4771876"/>
          <a:ext cx="2818163" cy="310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182880" tIns="0" rIns="91440" bIns="91440" rtlCol="0" anchor="ctr"/>
        <a:lstStyle/>
        <a:p>
          <a:pPr marL="0" indent="0" algn="ctr"/>
          <a:r>
            <a:rPr lang="en-IN" sz="1200" b="1">
              <a:solidFill>
                <a:sysClr val="windowText" lastClr="000000"/>
              </a:solidFill>
              <a:latin typeface="+mn-lt"/>
              <a:ea typeface="+mn-ea"/>
              <a:cs typeface="+mn-cs"/>
            </a:rPr>
            <a:t>No.of Patient</a:t>
          </a:r>
          <a:r>
            <a:rPr lang="en-IN" sz="1200" b="1" baseline="0">
              <a:solidFill>
                <a:sysClr val="windowText" lastClr="000000"/>
              </a:solidFill>
              <a:latin typeface="+mn-lt"/>
              <a:ea typeface="+mn-ea"/>
              <a:cs typeface="+mn-cs"/>
            </a:rPr>
            <a:t> by Department  Referral</a:t>
          </a:r>
          <a:endParaRPr lang="en-IN" sz="1200" b="1">
            <a:solidFill>
              <a:sysClr val="windowText" lastClr="000000"/>
            </a:solidFill>
            <a:latin typeface="+mn-lt"/>
            <a:ea typeface="+mn-ea"/>
            <a:cs typeface="+mn-cs"/>
          </a:endParaRPr>
        </a:p>
      </xdr:txBody>
    </xdr:sp>
    <xdr:clientData/>
  </xdr:twoCellAnchor>
  <xdr:twoCellAnchor editAs="absolute">
    <xdr:from>
      <xdr:col>0</xdr:col>
      <xdr:colOff>7398</xdr:colOff>
      <xdr:row>28</xdr:row>
      <xdr:rowOff>0</xdr:rowOff>
    </xdr:from>
    <xdr:to>
      <xdr:col>1</xdr:col>
      <xdr:colOff>510466</xdr:colOff>
      <xdr:row>30</xdr:row>
      <xdr:rowOff>22194</xdr:rowOff>
    </xdr:to>
    <mc:AlternateContent xmlns:mc="http://schemas.openxmlformats.org/markup-compatibility/2006" xmlns:a14="http://schemas.microsoft.com/office/drawing/2010/main">
      <mc:Choice Requires="a14">
        <xdr:graphicFrame macro="">
          <xdr:nvGraphicFramePr>
            <xdr:cNvPr id="53" name="Date (Year) 1">
              <a:extLst>
                <a:ext uri="{FF2B5EF4-FFF2-40B4-BE49-F238E27FC236}">
                  <a16:creationId xmlns:a16="http://schemas.microsoft.com/office/drawing/2014/main" id="{A73F2705-8306-414C-B7F6-27E8BF948AC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7398" y="5178641"/>
              <a:ext cx="1109709" cy="392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556260</xdr:colOff>
      <xdr:row>18</xdr:row>
      <xdr:rowOff>38100</xdr:rowOff>
    </xdr:to>
    <xdr:graphicFrame macro="">
      <xdr:nvGraphicFramePr>
        <xdr:cNvPr id="2" name="Chart 1">
          <a:extLst>
            <a:ext uri="{FF2B5EF4-FFF2-40B4-BE49-F238E27FC236}">
              <a16:creationId xmlns:a16="http://schemas.microsoft.com/office/drawing/2014/main" id="{3FFB948F-18E4-4C47-8980-2D8E3360D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0.03423</cdr:x>
      <cdr:y>0</cdr:y>
    </cdr:from>
    <cdr:to>
      <cdr:x>0.05876</cdr:x>
      <cdr:y>0.0984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D8E102B-17E6-26B3-353F-1B00D967DBE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57200" y="0"/>
          <a:ext cx="327660" cy="3276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91440</xdr:colOff>
      <xdr:row>1</xdr:row>
      <xdr:rowOff>7620</xdr:rowOff>
    </xdr:from>
    <xdr:to>
      <xdr:col>22</xdr:col>
      <xdr:colOff>472440</xdr:colOff>
      <xdr:row>18</xdr:row>
      <xdr:rowOff>175260</xdr:rowOff>
    </xdr:to>
    <xdr:graphicFrame macro="">
      <xdr:nvGraphicFramePr>
        <xdr:cNvPr id="2" name="Chart 1">
          <a:extLst>
            <a:ext uri="{FF2B5EF4-FFF2-40B4-BE49-F238E27FC236}">
              <a16:creationId xmlns:a16="http://schemas.microsoft.com/office/drawing/2014/main" id="{236CA01E-9A5A-4CE8-81F7-027698BB8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0.03094</cdr:x>
      <cdr:y>0</cdr:y>
    </cdr:from>
    <cdr:to>
      <cdr:x>0.0547</cdr:x>
      <cdr:y>0.10355</cdr:y>
    </cdr:to>
    <cdr:pic>
      <cdr:nvPicPr>
        <cdr:cNvPr id="5" name="Graphic 4" descr="Bac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22B42FA-EFC6-72C5-F332-27FDCB0F50C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26721" y="0"/>
          <a:ext cx="327660" cy="339283"/>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30480</xdr:rowOff>
    </xdr:from>
    <xdr:to>
      <xdr:col>22</xdr:col>
      <xdr:colOff>586740</xdr:colOff>
      <xdr:row>21</xdr:row>
      <xdr:rowOff>22860</xdr:rowOff>
    </xdr:to>
    <xdr:graphicFrame macro="">
      <xdr:nvGraphicFramePr>
        <xdr:cNvPr id="2" name="Chart 1">
          <a:extLst>
            <a:ext uri="{FF2B5EF4-FFF2-40B4-BE49-F238E27FC236}">
              <a16:creationId xmlns:a16="http://schemas.microsoft.com/office/drawing/2014/main" id="{898372AD-28A8-43C4-9B39-5681A8C17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0.01742</cdr:x>
      <cdr:y>2.60902E-7</cdr:y>
    </cdr:from>
    <cdr:to>
      <cdr:x>0.04822</cdr:x>
      <cdr:y>0.09344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CFB7936-211C-57C4-DDC4-A27FB6C1871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43840" y="1"/>
          <a:ext cx="431210" cy="3581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084015972221" createdVersion="5" refreshedVersion="8" minRefreshableVersion="3" recordCount="0" supportSubquery="1" supportAdvancedDrill="1" xr:uid="{1F63B10A-C5C8-4B1A-8D62-C91F74A939BB}">
  <cacheSource type="external" connectionId="3"/>
  <cacheFields count="4">
    <cacheField name="[Measures].[Distinct Count of Patient Id]" caption="Distinct Count of Patient Id" numFmtId="0" hierarchy="24" level="32767"/>
    <cacheField name="[Calendar].[Date (Day)].[Date (Day)]" caption="Date (Day)" numFmtId="0" hierarchy="2" level="1">
      <sharedItems count="30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084016435183" createdVersion="5" refreshedVersion="8" minRefreshableVersion="3" recordCount="0" supportSubquery="1" supportAdvancedDrill="1" xr:uid="{3AF4F9A3-D58B-421B-87F1-78499B9B9BB1}">
  <cacheSource type="external" connectionId="3"/>
  <cacheFields count="4">
    <cacheField name="[Calendar].[Date (Day)].[Date (Day)]" caption="Date (Day)" numFmtId="0" hierarchy="2" level="1">
      <sharedItems count="30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08401712963" createdVersion="5" refreshedVersion="8" minRefreshableVersion="3" recordCount="0" supportSubquery="1" supportAdvancedDrill="1" xr:uid="{FC2894A9-F692-4072-AD2E-F81DE86B6F89}">
  <cacheSource type="external" connectionId="3"/>
  <cacheFields count="4">
    <cacheField name="[Calendar].[Date (Day)].[Date (Day)]" caption="Date (Day)" numFmtId="0" hierarchy="2" level="1">
      <sharedItems count="298">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2-Apr"/>
        <s v="3-Apr"/>
        <s v="4-Apr"/>
        <s v="5-Apr"/>
        <s v="6-Apr"/>
        <s v="7-Apr"/>
        <s v="8-Apr"/>
        <s v="9-Apr"/>
        <s v="11-Apr"/>
        <s v="12-Apr"/>
        <s v="13-Apr"/>
        <s v="14-Apr"/>
        <s v="15-Apr"/>
        <s v="16-Apr"/>
        <s v="17-Apr"/>
        <s v="18-Apr"/>
        <s v="19-Apr"/>
        <s v="20-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611373495369" createdVersion="5" refreshedVersion="8" minRefreshableVersion="3" recordCount="0" supportSubquery="1" supportAdvancedDrill="1" xr:uid="{66E319A2-8CA5-4825-A299-4B04B7C1EA8D}">
  <cacheSource type="external" connectionId="3"/>
  <cacheFields count="3">
    <cacheField name="[Measures].[Distinct Count of Patient Id]" caption="Distinct Count of Patient Id" numFmtId="0" hierarchy="24"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611373611115" createdVersion="5" refreshedVersion="8" minRefreshableVersion="3" recordCount="0" supportSubquery="1" supportAdvancedDrill="1" xr:uid="{0B6747F5-F2CC-4A10-86C2-2BC22BB97F55}">
  <cacheSource type="external" connectionId="3"/>
  <cacheFields count="3">
    <cacheField name="[Measures].[Average of Patient Waittime]" caption="Average of Patient Waittime" numFmtId="0" hierarchy="26"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611373842592" createdVersion="5" refreshedVersion="8" minRefreshableVersion="3" recordCount="0" supportSubquery="1" supportAdvancedDrill="1" xr:uid="{20D8A6FF-4B66-44CA-B9B7-CC2902352F78}">
  <cacheSource type="external" connectionId="3"/>
  <cacheFields count="3">
    <cacheField name="[Measures].[Average of Patient Satisfaction Score]" caption="Average of Patient Satisfaction Score" numFmtId="0" hierarchy="28"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611374305554" createdVersion="5" refreshedVersion="8" minRefreshableVersion="3" recordCount="0" supportSubquery="1" supportAdvancedDrill="1" xr:uid="{0E249E55-AB6D-47EB-921E-A483F2B3D602}">
  <cacheSource type="external" connectionId="3"/>
  <cacheFields count="5">
    <cacheField name="[Calenda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611374768516" createdVersion="5" refreshedVersion="8" minRefreshableVersion="3" recordCount="0" supportSubquery="1" supportAdvancedDrill="1" xr:uid="{EC95B47E-62D2-42A1-9E02-A60BE217AB0A}">
  <cacheSource type="external" connectionId="3"/>
  <cacheFields count="4">
    <cacheField name="[Calendar].[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611375347224" createdVersion="5" refreshedVersion="8" minRefreshableVersion="3" recordCount="0" supportSubquery="1" supportAdvancedDrill="1" xr:uid="{4E0D0BD7-BCE4-4FB1-B76A-40DCA7839C20}">
  <cacheSource type="external" connectionId="3"/>
  <cacheFields count="5">
    <cacheField name="[Calendar].[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alay"/>
        <s v="On Time"/>
      </sharedItems>
    </cacheField>
    <cacheField name="[Measures].[Count of Patient Attend Status]" caption="Count of Patient Attend Status" numFmtId="0" hierarchy="31" level="32767"/>
    <cacheField name="[Calendar].[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611375810186" createdVersion="5" refreshedVersion="8" minRefreshableVersion="3" recordCount="0" supportSubquery="1" supportAdvancedDrill="1" xr:uid="{668B5EFB-9569-4A07-932E-EA13B6AB89BE}">
  <cacheSource type="external" connectionId="3"/>
  <cacheFields count="4">
    <cacheField name="[Calendar].[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611376388886" createdVersion="5" refreshedVersion="8" minRefreshableVersion="3" recordCount="0" supportSubquery="1" supportAdvancedDrill="1" xr:uid="{915418E0-8CFA-4C65-9BDC-3D1BD94213D1}">
  <cacheSource type="external" connectionId="3"/>
  <cacheFields count="4">
    <cacheField name="[Calenda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Date (Year)].[Date (Year)]" caption="Date (Year)" numFmtId="0" hierarchy="3" level="1">
      <sharedItems containsSemiMixedTypes="0" containsNonDate="0" containsString="0"/>
    </cacheField>
  </cacheFields>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611376851855" createdVersion="5" refreshedVersion="8" minRefreshableVersion="3" recordCount="0" supportSubquery="1" supportAdvancedDrill="1" xr:uid="{64342A9A-8C76-4A17-812C-9B0839483394}">
  <cacheSource type="external" connectionId="3"/>
  <cacheFields count="2">
    <cacheField name="[Calendar].[Date (Month)].[Date (Month)]" caption="Date (Month)" numFmtId="0" hierarchy="1" level="1">
      <sharedItems containsSemiMixedTypes="0" containsNonDate="0" containsString="0"/>
    </cacheField>
    <cacheField name="[Calendar].[Date (Year)].[Date (Year)]" caption="Date (Year)" numFmtId="0" hierarchy="3" level="1">
      <sharedItems count="1">
        <s v="2024"/>
      </sharedItems>
    </cacheField>
  </cacheFields>
  <cacheHierarchies count="34">
    <cacheHierarchy uniqueName="[Calendar].[Date]" caption="Date" attribute="1" time="1" defaultMemberUniqueName="[Calendar].[Date].[All]" allUniqueName="[Calendar].[Date].[All]" dimensionUniqueName="[Calendar]" displayFolder="" count="2"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2"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Date (Day Index)]" caption="Date (Day Index)" attribute="1" defaultMemberUniqueName="[Calendar].[Date (Day Index)].[All]" allUniqueName="[Calendar].[Date (Day Index)].[All]" dimensionUniqueName="[Calendar]" displayFolder="" count="2" memberValueDatatype="5" unbalanced="0" hidden="1"/>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079596180556" createdVersion="3" refreshedVersion="8" minRefreshableVersion="3" recordCount="0" supportSubquery="1" supportAdvancedDrill="1" xr:uid="{7D80881B-B30F-4921-B574-5F9A45EBD20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4105895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ingh" refreshedDate="46189.08009502315" createdVersion="3" refreshedVersion="8" minRefreshableVersion="3" recordCount="0" supportSubquery="1" supportAdvancedDrill="1" xr:uid="{BC5C3015-6029-40CB-8408-1CB71A55A78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300170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28F99B-908A-4498-AF7D-64E21F9FDEBD}" name="PivotTable3" cacheId="103" applyNumberFormats="0" applyBorderFormats="0" applyFontFormats="0" applyPatternFormats="0" applyAlignmentFormats="0" applyWidthHeightFormats="1" dataCaption="Values" tag="6d0d9fa5-0673-4ad0-b356-2ba48bc56199" updatedVersion="8" minRefreshableVersion="3"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4">
    <pivotHierarchy dragToData="1"/>
    <pivotHierarchy multipleItemSelectionAllowed="1" dragToData="1">
      <members count="1" level="1">
        <member name="[Calendar].[Date (Month)].&amp;[Ju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DF9853-4EEB-4070-B1F9-C6C24048EC7D}" name="PivotTable2" cacheId="100" applyNumberFormats="0" applyBorderFormats="0" applyFontFormats="0" applyPatternFormats="0" applyAlignmentFormats="0" applyWidthHeightFormats="1" dataCaption="Values" tag="ca7cb1c5-bfef-439d-b6b5-07606a26d5b8"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4">
    <pivotHierarchy dragToData="1"/>
    <pivotHierarchy multipleItemSelectionAllowed="1" dragToData="1">
      <members count="1" level="1">
        <member name="[Calendar].[Date (Month)].&amp;[Ju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9BF76E-3A0E-43E7-8A2A-432F76C08EA9}" name="PivotTable9" cacheId="112" applyNumberFormats="0" applyBorderFormats="0" applyFontFormats="0" applyPatternFormats="0" applyAlignmentFormats="0" applyWidthHeightFormats="1" dataCaption="Values" tag="af3dd8d9-4f86-4ac7-8944-eb486b6493d1" updatedVersion="8" minRefreshableVersion="3" subtotalHiddenItems="1" itemPrintTitles="1" createdVersion="5" indent="0" outline="1" outlineData="1" multipleFieldFilters="0" chartFormat="104" rowHeaderCaption="Age Group">
  <location ref="AA4:AC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ttend Status" fld="2" subtotal="count" baseField="0" baseItem="0"/>
    <dataField name="Count of Patient Attend Status2" fld="4" subtotal="count" showDataAs="percentOfTotal" baseField="0" baseItem="0" numFmtId="10">
      <extLst>
        <ext xmlns:x14="http://schemas.microsoft.com/office/spreadsheetml/2009/9/main" uri="{E15A36E0-9728-4e99-A89B-3F7291B0FE68}">
          <x14:dataField sourceField="2" uniqueName="[__Xl2].[Measures].[Count of Patient Attend Status]"/>
        </ext>
      </extLst>
    </dataField>
  </dataFields>
  <chartFormats count="12">
    <chartFormat chart="95" format="0" series="1">
      <pivotArea type="data" outline="0" fieldPosition="0">
        <references count="1">
          <reference field="4294967294" count="1" selected="0">
            <x v="0"/>
          </reference>
        </references>
      </pivotArea>
    </chartFormat>
    <chartFormat chart="95" format="1" series="1">
      <pivotArea type="data" outline="0" fieldPosition="0">
        <references count="1">
          <reference field="4294967294" count="1" selected="0">
            <x v="1"/>
          </reference>
        </references>
      </pivotArea>
    </chartFormat>
    <chartFormat chart="99" format="8" series="1">
      <pivotArea type="data" outline="0" fieldPosition="0">
        <references count="1">
          <reference field="4294967294" count="1" selected="0">
            <x v="0"/>
          </reference>
        </references>
      </pivotArea>
    </chartFormat>
    <chartFormat chart="99" format="9">
      <pivotArea type="data" outline="0" fieldPosition="0">
        <references count="2">
          <reference field="4294967294" count="1" selected="0">
            <x v="0"/>
          </reference>
          <reference field="1" count="1" selected="0">
            <x v="0"/>
          </reference>
        </references>
      </pivotArea>
    </chartFormat>
    <chartFormat chart="99" format="10">
      <pivotArea type="data" outline="0" fieldPosition="0">
        <references count="2">
          <reference field="4294967294" count="1" selected="0">
            <x v="0"/>
          </reference>
          <reference field="1" count="1" selected="0">
            <x v="1"/>
          </reference>
        </references>
      </pivotArea>
    </chartFormat>
    <chartFormat chart="99" format="11" series="1">
      <pivotArea type="data" outline="0" fieldPosition="0">
        <references count="1">
          <reference field="4294967294" count="1" selected="0">
            <x v="1"/>
          </reference>
        </references>
      </pivotArea>
    </chartFormat>
    <chartFormat chart="99" format="12">
      <pivotArea type="data" outline="0" fieldPosition="0">
        <references count="2">
          <reference field="4294967294" count="1" selected="0">
            <x v="1"/>
          </reference>
          <reference field="1" count="1" selected="0">
            <x v="0"/>
          </reference>
        </references>
      </pivotArea>
    </chartFormat>
    <chartFormat chart="99" format="13">
      <pivotArea type="data" outline="0" fieldPosition="0">
        <references count="2">
          <reference field="4294967294" count="1" selected="0">
            <x v="1"/>
          </reference>
          <reference field="1" count="1" selected="0">
            <x v="1"/>
          </reference>
        </references>
      </pivotArea>
    </chartFormat>
    <chartFormat chart="95" format="2">
      <pivotArea type="data" outline="0" fieldPosition="0">
        <references count="2">
          <reference field="4294967294" count="1" selected="0">
            <x v="0"/>
          </reference>
          <reference field="1" count="1" selected="0">
            <x v="0"/>
          </reference>
        </references>
      </pivotArea>
    </chartFormat>
    <chartFormat chart="95" format="3">
      <pivotArea type="data" outline="0" fieldPosition="0">
        <references count="2">
          <reference field="4294967294" count="1" selected="0">
            <x v="0"/>
          </reference>
          <reference field="1" count="1" selected="0">
            <x v="1"/>
          </reference>
        </references>
      </pivotArea>
    </chartFormat>
    <chartFormat chart="95" format="4">
      <pivotArea type="data" outline="0" fieldPosition="0">
        <references count="2">
          <reference field="4294967294" count="1" selected="0">
            <x v="1"/>
          </reference>
          <reference field="1" count="1" selected="0">
            <x v="0"/>
          </reference>
        </references>
      </pivotArea>
    </chartFormat>
    <chartFormat chart="95" format="5">
      <pivotArea type="data" outline="0" fieldPosition="0">
        <references count="2">
          <reference field="4294967294" count="1" selected="0">
            <x v="1"/>
          </reference>
          <reference field="1" count="1" selected="0">
            <x v="1"/>
          </reference>
        </references>
      </pivotArea>
    </chartFormat>
  </chartFormats>
  <pivotHierarchies count="35">
    <pivotHierarchy dragToData="1"/>
    <pivotHierarchy multipleItemSelectionAllowed="1" dragToData="1">
      <members count="1" level="1">
        <member name="[Calendar].[Date (Month)].&amp;[Ju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Patient "/>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61A12F-3443-4743-B2CE-AF2BD182DFF1}" name="PivotTable5" cacheId="1" applyNumberFormats="0" applyBorderFormats="0" applyFontFormats="0" applyPatternFormats="0" applyAlignmentFormats="0" applyWidthHeightFormats="1" dataCaption="Values" tag="76ad0888-01bb-4bb3-9122-224fcf8fce84" updatedVersion="8" minRefreshableVersion="3" subtotalHiddenItems="1" itemPrintTitles="1" createdVersion="5" indent="0" outline="1" outlineData="1" multipleFieldFilters="0" chartFormat="37">
  <location ref="I7:J312" firstHeaderRow="1" firstDataRow="1" firstDataCol="1"/>
  <pivotFields count="4">
    <pivotField axis="axisRow" allDrilled="1" subtotalTop="0" showAll="0" dataSourceSort="1" defaultSubtotal="0" defaultAttributeDrillState="1">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Average of Patient Waittime" fld="2" subtotal="average" baseField="0" baseItem="0"/>
  </dataFields>
  <formats count="1">
    <format dxfId="10">
      <pivotArea collapsedLevelsAreSubtotals="1" fieldPosition="0">
        <references count="1">
          <reference field="0" count="0"/>
        </references>
      </pivotArea>
    </format>
  </formats>
  <chartFormats count="4">
    <chartFormat chart="23" format="5"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0"/>
          </reference>
        </references>
      </pivotArea>
    </chartFormat>
    <chartFormat chart="31" format="9"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98FF4C-B788-4492-A111-111C0E540571}" name="PivotTable8" cacheId="109" applyNumberFormats="0" applyBorderFormats="0" applyFontFormats="0" applyPatternFormats="0" applyAlignmentFormats="0" applyWidthHeightFormats="1" dataCaption="Values" tag="dd07f018-1e37-4894-a3fa-4c20b6f4f6d0" updatedVersion="8" minRefreshableVersion="3" subtotalHiddenItems="1" itemPrintTitles="1" createdVersion="5" indent="0" outline="1" outlineData="1" multipleFieldFilters="0" chartFormat="95" rowHeaderCaption="Age Group">
  <location ref="W5:X1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1" baseItem="0"/>
  </dataFields>
  <chartFormats count="2">
    <chartFormat chart="88" format="2" series="1">
      <pivotArea type="data" outline="0" fieldPosition="0">
        <references count="1">
          <reference field="4294967294" count="1" selected="0">
            <x v="0"/>
          </reference>
        </references>
      </pivotArea>
    </chartFormat>
    <chartFormat chart="9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Date (Month)].&amp;[Ju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Patient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79144C-6702-4A81-A879-14122479D262}" name="PivotTable4" cacheId="0" applyNumberFormats="0" applyBorderFormats="0" applyFontFormats="0" applyPatternFormats="0" applyAlignmentFormats="0" applyWidthHeightFormats="1" dataCaption="Values" tag="2b842553-8627-4a45-9059-e286934fb679" updatedVersion="8" minRefreshableVersion="3" subtotalHiddenItems="1" itemPrintTitles="1" createdVersion="5" indent="0" outline="1" outlineData="1" multipleFieldFilters="0" chartFormat="22">
  <location ref="C7:D312" firstHeaderRow="1" firstDataRow="1" firstDataCol="1"/>
  <pivotFields count="4">
    <pivotField dataField="1" subtotalTop="0" showAll="0" defaultSubtotal="0"/>
    <pivotField axis="axisRow" allDrilled="1" subtotalTop="0" showAll="0" dataSourceSort="1" defaultSubtotal="0" defaultAttributeDrillState="1">
      <items count="3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F5512B-24DA-4A9D-9A23-BA69A2CD444A}" name="PivotTable7" cacheId="106" applyNumberFormats="0" applyBorderFormats="0" applyFontFormats="0" applyPatternFormats="0" applyAlignmentFormats="0" applyWidthHeightFormats="1" dataCaption="Values" tag="c9c0a57f-fe2c-4f66-8e8b-b1d98e15a15c" updatedVersion="8" minRefreshableVersion="3" subtotalHiddenItems="1" rowGrandTotals="0" colGrandTotals="0" itemPrintTitles="1" createdVersion="5" indent="0" outline="1" outlineData="1" multipleFieldFilters="0" chartFormat="92" rowHeaderCaption="Admission Status">
  <location ref="S5:U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name=" Patient " fld="2" subtotal="count" baseField="0" baseItem="0"/>
    <dataField name="Count of Patient Admission Flag"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4">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47" format="2">
      <pivotArea type="data" outline="0" fieldPosition="0">
        <references count="2">
          <reference field="4294967294" count="1" selected="0">
            <x v="0"/>
          </reference>
          <reference field="1" count="1" selected="0">
            <x v="0"/>
          </reference>
        </references>
      </pivotArea>
    </chartFormat>
    <chartFormat chart="47"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Date (Month)].&amp;[Ju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Patient "/>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332261-1667-4FEF-BCB6-5017BBB0CF4F}" name="PivotTable12" cacheId="121" applyNumberFormats="0" applyBorderFormats="0" applyFontFormats="0" applyPatternFormats="0" applyAlignmentFormats="0" applyWidthHeightFormats="1" dataCaption="Values" tag="30a70761-90a0-48dd-a76f-99af268a8c7e" updatedVersion="8" minRefreshableVersion="3" subtotalHiddenItems="1" itemPrintTitles="1" createdVersion="5" indent="0" outline="1" outlineData="1" multipleFieldFilters="0" chartFormat="115" rowHeaderCaption="Age Group">
  <location ref="AN3:AN5"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pivotHierarchies count="34">
    <pivotHierarchy dragToData="1"/>
    <pivotHierarchy multipleItemSelectionAllowed="1" dragToData="1">
      <members count="1" level="1">
        <member name="[Calendar].[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Patient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C4D1FA-863D-424F-BEC9-CEA778A88F75}" name="PivotTable11" cacheId="118" applyNumberFormats="0" applyBorderFormats="0" applyFontFormats="0" applyPatternFormats="0" applyAlignmentFormats="0" applyWidthHeightFormats="1" dataCaption="Values" tag="f79fb910-35d7-42dc-af09-08103e99a87f" updatedVersion="8" minRefreshableVersion="3" subtotalHiddenItems="1" itemPrintTitles="1" createdVersion="5" indent="0" outline="1" outlineData="1" multipleFieldFilters="0" chartFormat="115" rowHeaderCaption="Age Group">
  <location ref="AJ4:AK13"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i>
    <i>
      <x v="1"/>
    </i>
    <i>
      <x v="3"/>
    </i>
    <i>
      <x v="6"/>
    </i>
    <i>
      <x v="7"/>
    </i>
    <i t="grand">
      <x/>
    </i>
  </rowItems>
  <colItems count="1">
    <i/>
  </colItems>
  <dataFields count="1">
    <dataField name="Count of Department Referral" fld="2" subtotal="count" baseField="0" baseItem="0"/>
  </dataFields>
  <chartFormats count="2">
    <chartFormat chart="108" format="0" series="1">
      <pivotArea type="data" outline="0" fieldPosition="0">
        <references count="1">
          <reference field="4294967294" count="1" selected="0">
            <x v="0"/>
          </reference>
        </references>
      </pivotArea>
    </chartFormat>
    <chartFormat chart="11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Date (Month)].&amp;[Ju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Patient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B43A77-386C-481D-90FC-C3336ABC6ED9}" name="PivotTable6" cacheId="2" applyNumberFormats="0" applyBorderFormats="0" applyFontFormats="0" applyPatternFormats="0" applyAlignmentFormats="0" applyWidthHeightFormats="1" dataCaption="Values" tag="21c9e3c1-2dc0-4681-a358-4302b0f9229f" updatedVersion="8" minRefreshableVersion="3" subtotalHiddenItems="1" itemPrintTitles="1" createdVersion="5" indent="0" outline="1" outlineData="1" multipleFieldFilters="0" chartFormat="45">
  <location ref="N6:O305" firstHeaderRow="1" firstDataRow="1" firstDataCol="1"/>
  <pivotFields count="4">
    <pivotField axis="axisRow" allDrilled="1" subtotalTop="0" showAll="0" dataSourceSort="1" defaultSubtotal="0" defaultAttributeDrillState="1">
      <items count="2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t="grand">
      <x/>
    </i>
  </rowItems>
  <colItems count="1">
    <i/>
  </colItems>
  <dataFields count="1">
    <dataField name="Average of Patient Satisfaction Score" fld="2" subtotal="average" baseField="0" baseItem="5"/>
  </dataFields>
  <formats count="1">
    <format dxfId="11">
      <pivotArea collapsedLevelsAreSubtotals="1" fieldPosition="0">
        <references count="1">
          <reference field="0" count="0"/>
        </references>
      </pivotArea>
    </format>
  </formats>
  <chartFormats count="5">
    <chartFormat chart="35"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Date (Month)].&amp;[Ap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B37A2E-CE3C-4F5D-A86D-3E16BADC4E2D}" name="PivotTable1" cacheId="97" applyNumberFormats="0" applyBorderFormats="0" applyFontFormats="0" applyPatternFormats="0" applyAlignmentFormats="0" applyWidthHeightFormats="1" dataCaption="Values" tag="129f8039-355c-485f-999c-7ec18f66c609"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Date (Month)].&amp;[Ju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275F19-4BFE-4410-966F-BB21A33EBD14}" name="PivotTable10" cacheId="115" applyNumberFormats="0" applyBorderFormats="0" applyFontFormats="0" applyPatternFormats="0" applyAlignmentFormats="0" applyWidthHeightFormats="1" dataCaption="Values" tag="d5c7c55d-ce61-4791-90bb-9fb8b51419de" updatedVersion="8" minRefreshableVersion="3" subtotalHiddenItems="1" itemPrintTitles="1" createdVersion="5" indent="0" outline="1" outlineData="1" multipleFieldFilters="0" chartFormat="109" rowHeaderCaption="Age Group">
  <location ref="AE4:AF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6">
    <chartFormat chart="103" format="0" series="1">
      <pivotArea type="data" outline="0" fieldPosition="0">
        <references count="1">
          <reference field="4294967294" count="1" selected="0">
            <x v="0"/>
          </reference>
        </references>
      </pivotArea>
    </chartFormat>
    <chartFormat chart="107" format="4" series="1">
      <pivotArea type="data" outline="0" fieldPosition="0">
        <references count="1">
          <reference field="4294967294" count="1" selected="0">
            <x v="0"/>
          </reference>
        </references>
      </pivotArea>
    </chartFormat>
    <chartFormat chart="107" format="5">
      <pivotArea type="data" outline="0" fieldPosition="0">
        <references count="2">
          <reference field="4294967294" count="1" selected="0">
            <x v="0"/>
          </reference>
          <reference field="1" count="1" selected="0">
            <x v="0"/>
          </reference>
        </references>
      </pivotArea>
    </chartFormat>
    <chartFormat chart="107" format="6">
      <pivotArea type="data" outline="0" fieldPosition="0">
        <references count="2">
          <reference field="4294967294" count="1" selected="0">
            <x v="0"/>
          </reference>
          <reference field="1" count="1" selected="0">
            <x v="1"/>
          </reference>
        </references>
      </pivotArea>
    </chartFormat>
    <chartFormat chart="103" format="1">
      <pivotArea type="data" outline="0" fieldPosition="0">
        <references count="2">
          <reference field="4294967294" count="1" selected="0">
            <x v="0"/>
          </reference>
          <reference field="1" count="1" selected="0">
            <x v="0"/>
          </reference>
        </references>
      </pivotArea>
    </chartFormat>
    <chartFormat chart="103"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Date (Month)].&amp;[Jun]"/>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 Patient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8D612E2-4866-4C61-806F-CB3D7FBB2858}" sourceName="[Calendar].[Date (Month)]">
  <pivotTables>
    <pivotTable tabId="1" name="PivotTable1"/>
    <pivotTable tabId="1" name="PivotTable2"/>
    <pivotTable tabId="1" name="PivotTable3"/>
    <pivotTable tabId="1" name="PivotTable7"/>
    <pivotTable tabId="1" name="PivotTable8"/>
    <pivotTable tabId="1" name="PivotTable9"/>
    <pivotTable tabId="1" name="PivotTable10"/>
    <pivotTable tabId="1" name="PivotTable11"/>
    <pivotTable tabId="1" name="PivotTable12"/>
  </pivotTables>
  <data>
    <olap pivotCacheId="841058957">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nd="1"/>
              <i n="[Calendar].[Date (Month)].&amp;[Dec]" c="Dec" nd="1"/>
            </range>
          </ranges>
        </level>
      </levels>
      <selections count="1">
        <selection n="[Calendar].[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45A3246-723F-4787-A106-CC2EA0BD65E6}" sourceName="[Calendar].[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30017001">
      <levels count="2">
        <level uniqueName="[Calendar].[Date (Year)].[(All)]" sourceCaption="(All)" count="0"/>
        <level uniqueName="[Calendar].[Date (Year)].[Date (Year)]" sourceCaption="Date (Year)" count="2">
          <ranges>
            <range startItem="0">
              <i n="[Calendar].[Date (Year)].&amp;[2023]" c="2023"/>
              <i n="[Calendar].[Date (Year)].&amp;[2024]" c="2024"/>
            </range>
          </ranges>
        </level>
      </levels>
      <selections count="1">
        <selection n="[Calenda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FF4ED462-D628-4495-BF14-5904A1213590}"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A18C73A-EB6D-42FC-8665-0EAC10489FDF}" cache="Slicer_Date__Month" caption="Date (Month)" showCaption="0" level="1" style="Slicer Style 1" rowHeight="234950"/>
  <slicer name="Date (Year) 1" xr10:uid="{7A276233-A2EA-47BE-8DAE-0CDEF7EFC3EF}" cache="Slicer_Date__Year" caption="Date (Year)" columnCount="2" showCaption="0"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8DC76-C86C-4BC2-AA72-4F7600116F99}">
  <dimension ref="A3:AN312"/>
  <sheetViews>
    <sheetView topLeftCell="L1" zoomScale="130" zoomScaleNormal="130" workbookViewId="0">
      <selection activeCell="D33" sqref="D33"/>
    </sheetView>
  </sheetViews>
  <sheetFormatPr defaultRowHeight="14.4" x14ac:dyDescent="0.3"/>
  <cols>
    <col min="1" max="1" width="23.88671875" bestFit="1" customWidth="1"/>
    <col min="2" max="2" width="17" bestFit="1" customWidth="1"/>
    <col min="3" max="3" width="13" customWidth="1"/>
    <col min="18" max="18" width="15.21875" customWidth="1"/>
    <col min="19" max="19" width="12.109375" customWidth="1"/>
    <col min="21" max="21" width="30.5546875" customWidth="1"/>
    <col min="23" max="23" width="17.6640625" bestFit="1" customWidth="1"/>
    <col min="24" max="24" width="7.88671875" bestFit="1" customWidth="1"/>
    <col min="27" max="27" width="12.109375" bestFit="1" customWidth="1"/>
    <col min="28" max="28" width="27.6640625" bestFit="1" customWidth="1"/>
    <col min="29" max="29" width="28.6640625" bestFit="1" customWidth="1"/>
    <col min="36" max="36" width="15.6640625" bestFit="1" customWidth="1"/>
    <col min="37" max="37" width="27" bestFit="1" customWidth="1"/>
  </cols>
  <sheetData>
    <row r="3" spans="1:40" x14ac:dyDescent="0.3">
      <c r="AN3" s="2" t="s">
        <v>333</v>
      </c>
    </row>
    <row r="4" spans="1:40" x14ac:dyDescent="0.3">
      <c r="AA4" s="2" t="s">
        <v>333</v>
      </c>
      <c r="AB4" t="s">
        <v>335</v>
      </c>
      <c r="AC4" t="s">
        <v>336</v>
      </c>
      <c r="AE4" s="2" t="s">
        <v>333</v>
      </c>
      <c r="AF4" t="s">
        <v>337</v>
      </c>
      <c r="AJ4" s="2" t="s">
        <v>333</v>
      </c>
      <c r="AK4" t="s">
        <v>345</v>
      </c>
      <c r="AN4" s="3" t="s">
        <v>346</v>
      </c>
    </row>
    <row r="5" spans="1:40" x14ac:dyDescent="0.3">
      <c r="N5" t="s">
        <v>312</v>
      </c>
      <c r="S5" s="2" t="s">
        <v>318</v>
      </c>
      <c r="T5" t="s">
        <v>319</v>
      </c>
      <c r="U5" t="s">
        <v>317</v>
      </c>
      <c r="W5" s="2" t="s">
        <v>333</v>
      </c>
      <c r="X5" t="s">
        <v>334</v>
      </c>
      <c r="AA5" s="3" t="s">
        <v>313</v>
      </c>
      <c r="AB5" s="10">
        <v>297</v>
      </c>
      <c r="AC5" s="4">
        <v>0.6123711340206186</v>
      </c>
      <c r="AE5" s="3" t="s">
        <v>330</v>
      </c>
      <c r="AF5" s="10">
        <v>239</v>
      </c>
      <c r="AJ5" s="3" t="s">
        <v>321</v>
      </c>
      <c r="AK5" s="10">
        <v>291</v>
      </c>
      <c r="AN5" s="3" t="s">
        <v>5</v>
      </c>
    </row>
    <row r="6" spans="1:40" x14ac:dyDescent="0.3">
      <c r="A6" t="s">
        <v>1</v>
      </c>
      <c r="C6" t="s">
        <v>310</v>
      </c>
      <c r="I6" t="s">
        <v>311</v>
      </c>
      <c r="N6" s="2" t="s">
        <v>4</v>
      </c>
      <c r="O6" t="s">
        <v>3</v>
      </c>
      <c r="S6" s="3" t="s">
        <v>315</v>
      </c>
      <c r="T6" s="10">
        <v>235</v>
      </c>
      <c r="U6" s="4">
        <v>0.4845360824742268</v>
      </c>
      <c r="W6" s="3" t="s">
        <v>328</v>
      </c>
      <c r="X6" s="10">
        <v>59</v>
      </c>
      <c r="AA6" s="3" t="s">
        <v>314</v>
      </c>
      <c r="AB6" s="10">
        <v>188</v>
      </c>
      <c r="AC6" s="4">
        <v>0.38762886597938145</v>
      </c>
      <c r="AE6" s="3" t="s">
        <v>320</v>
      </c>
      <c r="AF6" s="10">
        <v>246</v>
      </c>
      <c r="AJ6" s="3" t="s">
        <v>340</v>
      </c>
      <c r="AK6" s="10">
        <v>91</v>
      </c>
    </row>
    <row r="7" spans="1:40" x14ac:dyDescent="0.3">
      <c r="A7" t="s">
        <v>0</v>
      </c>
      <c r="C7" s="2" t="s">
        <v>4</v>
      </c>
      <c r="D7" t="s">
        <v>0</v>
      </c>
      <c r="I7" s="2" t="s">
        <v>4</v>
      </c>
      <c r="J7" t="s">
        <v>2</v>
      </c>
      <c r="N7" s="3" t="s">
        <v>6</v>
      </c>
      <c r="O7" s="1">
        <v>6.666666666666667</v>
      </c>
      <c r="S7" s="3" t="s">
        <v>316</v>
      </c>
      <c r="T7" s="10">
        <v>250</v>
      </c>
      <c r="U7" s="4">
        <v>0.51546391752577314</v>
      </c>
      <c r="W7" s="3" t="s">
        <v>324</v>
      </c>
      <c r="X7" s="10">
        <v>55</v>
      </c>
      <c r="AA7" s="3" t="s">
        <v>5</v>
      </c>
      <c r="AB7" s="10">
        <v>485</v>
      </c>
      <c r="AC7" s="4">
        <v>1</v>
      </c>
      <c r="AE7" s="3" t="s">
        <v>5</v>
      </c>
      <c r="AF7" s="10">
        <v>485</v>
      </c>
      <c r="AJ7" s="3" t="s">
        <v>342</v>
      </c>
      <c r="AK7" s="10">
        <v>53</v>
      </c>
    </row>
    <row r="8" spans="1:40" x14ac:dyDescent="0.3">
      <c r="A8" s="10">
        <v>485</v>
      </c>
      <c r="C8" s="3" t="s">
        <v>6</v>
      </c>
      <c r="D8">
        <v>19</v>
      </c>
      <c r="I8" s="3" t="s">
        <v>6</v>
      </c>
      <c r="J8" s="1">
        <v>37.789473684210527</v>
      </c>
      <c r="N8" s="3" t="s">
        <v>7</v>
      </c>
      <c r="O8" s="1">
        <v>3.5</v>
      </c>
      <c r="W8" s="3" t="s">
        <v>327</v>
      </c>
      <c r="X8" s="10">
        <v>69</v>
      </c>
      <c r="AJ8" s="3" t="s">
        <v>338</v>
      </c>
      <c r="AK8" s="10">
        <v>13</v>
      </c>
    </row>
    <row r="9" spans="1:40" x14ac:dyDescent="0.3">
      <c r="C9" s="3" t="s">
        <v>7</v>
      </c>
      <c r="D9">
        <v>14</v>
      </c>
      <c r="I9" s="3" t="s">
        <v>7</v>
      </c>
      <c r="J9" s="1">
        <v>38.214285714285715</v>
      </c>
      <c r="N9" s="3" t="s">
        <v>8</v>
      </c>
      <c r="O9" s="1">
        <v>4.5</v>
      </c>
      <c r="W9" s="3" t="s">
        <v>329</v>
      </c>
      <c r="X9" s="10">
        <v>64</v>
      </c>
      <c r="AJ9" s="3" t="s">
        <v>339</v>
      </c>
      <c r="AK9" s="10">
        <v>12</v>
      </c>
    </row>
    <row r="10" spans="1:40" x14ac:dyDescent="0.3">
      <c r="C10" s="3" t="s">
        <v>8</v>
      </c>
      <c r="D10">
        <v>13</v>
      </c>
      <c r="I10" s="3" t="s">
        <v>8</v>
      </c>
      <c r="J10" s="1">
        <v>40.92307692307692</v>
      </c>
      <c r="N10" s="3" t="s">
        <v>9</v>
      </c>
      <c r="O10" s="1">
        <v>4.8</v>
      </c>
      <c r="W10" s="3" t="s">
        <v>325</v>
      </c>
      <c r="X10" s="10">
        <v>56</v>
      </c>
      <c r="AJ10" s="3" t="s">
        <v>341</v>
      </c>
      <c r="AK10" s="10">
        <v>12</v>
      </c>
    </row>
    <row r="11" spans="1:40" x14ac:dyDescent="0.3">
      <c r="C11" s="3" t="s">
        <v>9</v>
      </c>
      <c r="D11">
        <v>22</v>
      </c>
      <c r="I11" s="3" t="s">
        <v>9</v>
      </c>
      <c r="J11" s="1">
        <v>34.5</v>
      </c>
      <c r="N11" s="3" t="s">
        <v>10</v>
      </c>
      <c r="O11" s="1">
        <v>7.75</v>
      </c>
      <c r="W11" s="3" t="s">
        <v>326</v>
      </c>
      <c r="X11" s="10">
        <v>60</v>
      </c>
      <c r="AJ11" s="3" t="s">
        <v>343</v>
      </c>
      <c r="AK11" s="10">
        <v>11</v>
      </c>
    </row>
    <row r="12" spans="1:40" x14ac:dyDescent="0.3">
      <c r="A12" t="s">
        <v>2</v>
      </c>
      <c r="C12" s="3" t="s">
        <v>10</v>
      </c>
      <c r="D12">
        <v>19</v>
      </c>
      <c r="I12" s="3" t="s">
        <v>10</v>
      </c>
      <c r="J12" s="1">
        <v>30.684210526315791</v>
      </c>
      <c r="N12" s="3" t="s">
        <v>11</v>
      </c>
      <c r="O12" s="1">
        <v>6.2</v>
      </c>
      <c r="W12" s="3" t="s">
        <v>322</v>
      </c>
      <c r="X12" s="10">
        <v>51</v>
      </c>
      <c r="AJ12" s="3" t="s">
        <v>344</v>
      </c>
      <c r="AK12" s="10">
        <v>2</v>
      </c>
    </row>
    <row r="13" spans="1:40" x14ac:dyDescent="0.3">
      <c r="A13" s="1">
        <v>35.507216494845359</v>
      </c>
      <c r="C13" s="3" t="s">
        <v>11</v>
      </c>
      <c r="D13">
        <v>15</v>
      </c>
      <c r="I13" s="3" t="s">
        <v>11</v>
      </c>
      <c r="J13" s="1">
        <v>37.666666666666664</v>
      </c>
      <c r="N13" s="3" t="s">
        <v>12</v>
      </c>
      <c r="O13" s="1">
        <v>3.75</v>
      </c>
      <c r="R13" s="6" t="s">
        <v>318</v>
      </c>
      <c r="S13" s="6" t="s">
        <v>331</v>
      </c>
      <c r="T13" s="6" t="s">
        <v>332</v>
      </c>
      <c r="U13" s="7"/>
      <c r="V13" s="7"/>
      <c r="W13" s="3" t="s">
        <v>323</v>
      </c>
      <c r="X13" s="10">
        <v>71</v>
      </c>
      <c r="AJ13" s="3" t="s">
        <v>5</v>
      </c>
      <c r="AK13" s="10">
        <v>485</v>
      </c>
    </row>
    <row r="14" spans="1:40" x14ac:dyDescent="0.3">
      <c r="C14" s="3" t="s">
        <v>12</v>
      </c>
      <c r="D14">
        <v>12</v>
      </c>
      <c r="I14" s="3" t="s">
        <v>12</v>
      </c>
      <c r="J14" s="1">
        <v>36.083333333333336</v>
      </c>
      <c r="N14" s="3" t="s">
        <v>13</v>
      </c>
      <c r="O14" s="1">
        <v>6.5</v>
      </c>
      <c r="R14" s="7" t="str">
        <f>S7</f>
        <v>Not Admitted</v>
      </c>
      <c r="S14" s="7">
        <f t="shared" ref="S14:T14" si="0">T7</f>
        <v>250</v>
      </c>
      <c r="T14" s="8">
        <f t="shared" si="0"/>
        <v>0.51546391752577314</v>
      </c>
      <c r="U14" s="7"/>
      <c r="V14" s="7"/>
      <c r="W14" s="3" t="s">
        <v>5</v>
      </c>
      <c r="X14" s="10">
        <v>485</v>
      </c>
    </row>
    <row r="15" spans="1:40" x14ac:dyDescent="0.3">
      <c r="C15" s="3" t="s">
        <v>13</v>
      </c>
      <c r="D15">
        <v>21</v>
      </c>
      <c r="I15" s="3" t="s">
        <v>13</v>
      </c>
      <c r="J15" s="1">
        <v>43.523809523809526</v>
      </c>
      <c r="N15" s="3" t="s">
        <v>14</v>
      </c>
      <c r="O15" s="1">
        <v>3</v>
      </c>
      <c r="R15" s="7" t="str">
        <f>S6</f>
        <v>Admitted</v>
      </c>
      <c r="S15" s="7">
        <f t="shared" ref="S15:T15" si="1">T6</f>
        <v>235</v>
      </c>
      <c r="T15" s="8">
        <f t="shared" si="1"/>
        <v>0.4845360824742268</v>
      </c>
      <c r="U15" s="7"/>
      <c r="V15" s="7"/>
    </row>
    <row r="16" spans="1:40" x14ac:dyDescent="0.3">
      <c r="A16" t="s">
        <v>3</v>
      </c>
      <c r="C16" s="3" t="s">
        <v>14</v>
      </c>
      <c r="D16">
        <v>12</v>
      </c>
      <c r="I16" s="3" t="s">
        <v>14</v>
      </c>
      <c r="J16" s="1">
        <v>29.5</v>
      </c>
      <c r="N16" s="3" t="s">
        <v>15</v>
      </c>
      <c r="O16" s="1">
        <v>4.5</v>
      </c>
      <c r="T16" s="5"/>
    </row>
    <row r="17" spans="1:15" x14ac:dyDescent="0.3">
      <c r="A17" s="1">
        <v>4.7092198581560281</v>
      </c>
      <c r="C17" s="3" t="s">
        <v>15</v>
      </c>
      <c r="D17">
        <v>13</v>
      </c>
      <c r="I17" s="3" t="s">
        <v>15</v>
      </c>
      <c r="J17" s="1">
        <v>38.07692307692308</v>
      </c>
      <c r="N17" s="3" t="s">
        <v>16</v>
      </c>
      <c r="O17" s="1">
        <v>6</v>
      </c>
    </row>
    <row r="18" spans="1:15" x14ac:dyDescent="0.3">
      <c r="C18" s="3" t="s">
        <v>16</v>
      </c>
      <c r="D18">
        <v>13</v>
      </c>
      <c r="I18" s="3" t="s">
        <v>16</v>
      </c>
      <c r="J18" s="1">
        <v>35.846153846153847</v>
      </c>
      <c r="N18" s="3" t="s">
        <v>17</v>
      </c>
      <c r="O18" s="1">
        <v>5.2</v>
      </c>
    </row>
    <row r="19" spans="1:15" x14ac:dyDescent="0.3">
      <c r="C19" s="3" t="s">
        <v>17</v>
      </c>
      <c r="D19">
        <v>16</v>
      </c>
      <c r="I19" s="3" t="s">
        <v>17</v>
      </c>
      <c r="J19" s="1">
        <v>32.625</v>
      </c>
      <c r="N19" s="3" t="s">
        <v>18</v>
      </c>
      <c r="O19" s="1">
        <v>4.4000000000000004</v>
      </c>
    </row>
    <row r="20" spans="1:15" x14ac:dyDescent="0.3">
      <c r="C20" s="3" t="s">
        <v>18</v>
      </c>
      <c r="D20">
        <v>20</v>
      </c>
      <c r="I20" s="3" t="s">
        <v>18</v>
      </c>
      <c r="J20" s="1">
        <v>39.200000000000003</v>
      </c>
      <c r="N20" s="3" t="s">
        <v>19</v>
      </c>
      <c r="O20" s="1">
        <v>3.4545454545454546</v>
      </c>
    </row>
    <row r="21" spans="1:15" x14ac:dyDescent="0.3">
      <c r="C21" s="3" t="s">
        <v>19</v>
      </c>
      <c r="D21">
        <v>25</v>
      </c>
      <c r="I21" s="3" t="s">
        <v>19</v>
      </c>
      <c r="J21" s="1">
        <v>35.28</v>
      </c>
      <c r="N21" s="3" t="s">
        <v>20</v>
      </c>
      <c r="O21" s="1">
        <v>4.4000000000000004</v>
      </c>
    </row>
    <row r="22" spans="1:15" x14ac:dyDescent="0.3">
      <c r="C22" s="3" t="s">
        <v>20</v>
      </c>
      <c r="D22">
        <v>20</v>
      </c>
      <c r="I22" s="3" t="s">
        <v>20</v>
      </c>
      <c r="J22" s="1">
        <v>32.549999999999997</v>
      </c>
      <c r="N22" s="3" t="s">
        <v>21</v>
      </c>
      <c r="O22" s="1">
        <v>5.833333333333333</v>
      </c>
    </row>
    <row r="23" spans="1:15" x14ac:dyDescent="0.3">
      <c r="C23" s="3" t="s">
        <v>21</v>
      </c>
      <c r="D23">
        <v>14</v>
      </c>
      <c r="I23" s="3" t="s">
        <v>21</v>
      </c>
      <c r="J23" s="1">
        <v>35.642857142857146</v>
      </c>
      <c r="N23" s="3" t="s">
        <v>22</v>
      </c>
      <c r="O23" s="1">
        <v>4.4444444444444446</v>
      </c>
    </row>
    <row r="24" spans="1:15" x14ac:dyDescent="0.3">
      <c r="C24" s="3" t="s">
        <v>22</v>
      </c>
      <c r="D24">
        <v>17</v>
      </c>
      <c r="I24" s="3" t="s">
        <v>22</v>
      </c>
      <c r="J24" s="1">
        <v>38.764705882352942</v>
      </c>
      <c r="N24" s="3" t="s">
        <v>23</v>
      </c>
      <c r="O24" s="1">
        <v>5.333333333333333</v>
      </c>
    </row>
    <row r="25" spans="1:15" x14ac:dyDescent="0.3">
      <c r="C25" s="3" t="s">
        <v>23</v>
      </c>
      <c r="D25">
        <v>20</v>
      </c>
      <c r="I25" s="3" t="s">
        <v>23</v>
      </c>
      <c r="J25" s="1">
        <v>39.9</v>
      </c>
      <c r="N25" s="3" t="s">
        <v>24</v>
      </c>
      <c r="O25" s="1">
        <v>5.333333333333333</v>
      </c>
    </row>
    <row r="26" spans="1:15" x14ac:dyDescent="0.3">
      <c r="C26" s="3" t="s">
        <v>24</v>
      </c>
      <c r="D26">
        <v>10</v>
      </c>
      <c r="I26" s="3" t="s">
        <v>24</v>
      </c>
      <c r="J26" s="1">
        <v>41.6</v>
      </c>
      <c r="N26" s="3" t="s">
        <v>25</v>
      </c>
      <c r="O26" s="1">
        <v>5.5714285714285712</v>
      </c>
    </row>
    <row r="27" spans="1:15" x14ac:dyDescent="0.3">
      <c r="C27" s="3" t="s">
        <v>25</v>
      </c>
      <c r="D27">
        <v>17</v>
      </c>
      <c r="I27" s="3" t="s">
        <v>25</v>
      </c>
      <c r="J27" s="1">
        <v>39.470588235294116</v>
      </c>
      <c r="N27" s="3" t="s">
        <v>26</v>
      </c>
      <c r="O27" s="1">
        <v>5</v>
      </c>
    </row>
    <row r="28" spans="1:15" x14ac:dyDescent="0.3">
      <c r="C28" s="3" t="s">
        <v>26</v>
      </c>
      <c r="D28">
        <v>15</v>
      </c>
      <c r="I28" s="3" t="s">
        <v>26</v>
      </c>
      <c r="J28" s="1">
        <v>27.733333333333334</v>
      </c>
      <c r="N28" s="3" t="s">
        <v>27</v>
      </c>
      <c r="O28" s="1">
        <v>6.4</v>
      </c>
    </row>
    <row r="29" spans="1:15" x14ac:dyDescent="0.3">
      <c r="C29" s="3" t="s">
        <v>27</v>
      </c>
      <c r="D29">
        <v>16</v>
      </c>
      <c r="I29" s="3" t="s">
        <v>27</v>
      </c>
      <c r="J29" s="1">
        <v>36.875</v>
      </c>
      <c r="N29" s="3" t="s">
        <v>28</v>
      </c>
      <c r="O29" s="1">
        <v>5.333333333333333</v>
      </c>
    </row>
    <row r="30" spans="1:15" x14ac:dyDescent="0.3">
      <c r="C30" s="3" t="s">
        <v>28</v>
      </c>
      <c r="D30">
        <v>18</v>
      </c>
      <c r="I30" s="3" t="s">
        <v>28</v>
      </c>
      <c r="J30" s="1">
        <v>40.333333333333336</v>
      </c>
      <c r="N30" s="3" t="s">
        <v>29</v>
      </c>
      <c r="O30" s="1">
        <v>3.75</v>
      </c>
    </row>
    <row r="31" spans="1:15" x14ac:dyDescent="0.3">
      <c r="C31" s="3" t="s">
        <v>29</v>
      </c>
      <c r="D31">
        <v>16</v>
      </c>
      <c r="I31" s="3" t="s">
        <v>29</v>
      </c>
      <c r="J31" s="1">
        <v>36.5</v>
      </c>
      <c r="N31" s="3" t="s">
        <v>30</v>
      </c>
      <c r="O31" s="1">
        <v>6.333333333333333</v>
      </c>
    </row>
    <row r="32" spans="1:15" x14ac:dyDescent="0.3">
      <c r="C32" s="3" t="s">
        <v>30</v>
      </c>
      <c r="D32">
        <v>15</v>
      </c>
      <c r="I32" s="3" t="s">
        <v>30</v>
      </c>
      <c r="J32" s="1">
        <v>32.866666666666667</v>
      </c>
      <c r="N32" s="3" t="s">
        <v>31</v>
      </c>
      <c r="O32" s="1">
        <v>10</v>
      </c>
    </row>
    <row r="33" spans="3:15" x14ac:dyDescent="0.3">
      <c r="C33" s="3" t="s">
        <v>31</v>
      </c>
      <c r="D33">
        <v>14</v>
      </c>
      <c r="I33" s="3" t="s">
        <v>31</v>
      </c>
      <c r="J33" s="1">
        <v>36.642857142857146</v>
      </c>
      <c r="N33" s="3" t="s">
        <v>32</v>
      </c>
      <c r="O33" s="1">
        <v>5</v>
      </c>
    </row>
    <row r="34" spans="3:15" x14ac:dyDescent="0.3">
      <c r="C34" s="3" t="s">
        <v>32</v>
      </c>
      <c r="D34">
        <v>16</v>
      </c>
      <c r="I34" s="3" t="s">
        <v>32</v>
      </c>
      <c r="J34" s="1">
        <v>36.5625</v>
      </c>
      <c r="N34" s="3" t="s">
        <v>33</v>
      </c>
      <c r="O34" s="1">
        <v>5.333333333333333</v>
      </c>
    </row>
    <row r="35" spans="3:15" x14ac:dyDescent="0.3">
      <c r="C35" s="3" t="s">
        <v>33</v>
      </c>
      <c r="D35">
        <v>20</v>
      </c>
      <c r="I35" s="3" t="s">
        <v>33</v>
      </c>
      <c r="J35" s="1">
        <v>32.15</v>
      </c>
      <c r="N35" s="3" t="s">
        <v>34</v>
      </c>
      <c r="O35" s="1">
        <v>4.8</v>
      </c>
    </row>
    <row r="36" spans="3:15" x14ac:dyDescent="0.3">
      <c r="C36" s="3" t="s">
        <v>34</v>
      </c>
      <c r="D36">
        <v>19</v>
      </c>
      <c r="I36" s="3" t="s">
        <v>34</v>
      </c>
      <c r="J36" s="1">
        <v>38.368421052631582</v>
      </c>
      <c r="N36" s="3" t="s">
        <v>35</v>
      </c>
      <c r="O36" s="1">
        <v>5</v>
      </c>
    </row>
    <row r="37" spans="3:15" x14ac:dyDescent="0.3">
      <c r="C37" s="3" t="s">
        <v>35</v>
      </c>
      <c r="D37">
        <v>14</v>
      </c>
      <c r="I37" s="3" t="s">
        <v>35</v>
      </c>
      <c r="J37" s="1">
        <v>33.071428571428569</v>
      </c>
      <c r="N37" s="3" t="s">
        <v>36</v>
      </c>
      <c r="O37" s="1">
        <v>1.4</v>
      </c>
    </row>
    <row r="38" spans="3:15" x14ac:dyDescent="0.3">
      <c r="C38" s="3" t="s">
        <v>36</v>
      </c>
      <c r="D38">
        <v>18</v>
      </c>
      <c r="I38" s="3" t="s">
        <v>36</v>
      </c>
      <c r="J38" s="1">
        <v>36.444444444444443</v>
      </c>
      <c r="N38" s="3" t="s">
        <v>37</v>
      </c>
      <c r="O38" s="1">
        <v>4.166666666666667</v>
      </c>
    </row>
    <row r="39" spans="3:15" x14ac:dyDescent="0.3">
      <c r="C39" s="3" t="s">
        <v>37</v>
      </c>
      <c r="D39">
        <v>13</v>
      </c>
      <c r="I39" s="3" t="s">
        <v>37</v>
      </c>
      <c r="J39" s="1">
        <v>35.692307692307693</v>
      </c>
      <c r="N39" s="3" t="s">
        <v>38</v>
      </c>
      <c r="O39" s="1">
        <v>5.75</v>
      </c>
    </row>
    <row r="40" spans="3:15" x14ac:dyDescent="0.3">
      <c r="C40" s="3" t="s">
        <v>38</v>
      </c>
      <c r="D40">
        <v>10</v>
      </c>
      <c r="I40" s="3" t="s">
        <v>38</v>
      </c>
      <c r="J40" s="1">
        <v>45.4</v>
      </c>
      <c r="N40" s="3" t="s">
        <v>39</v>
      </c>
      <c r="O40" s="1">
        <v>4.75</v>
      </c>
    </row>
    <row r="41" spans="3:15" x14ac:dyDescent="0.3">
      <c r="C41" s="3" t="s">
        <v>39</v>
      </c>
      <c r="D41">
        <v>8</v>
      </c>
      <c r="I41" s="3" t="s">
        <v>39</v>
      </c>
      <c r="J41" s="1">
        <v>29.375</v>
      </c>
      <c r="N41" s="3" t="s">
        <v>40</v>
      </c>
      <c r="O41" s="1">
        <v>7</v>
      </c>
    </row>
    <row r="42" spans="3:15" x14ac:dyDescent="0.3">
      <c r="C42" s="3" t="s">
        <v>40</v>
      </c>
      <c r="D42">
        <v>12</v>
      </c>
      <c r="I42" s="3" t="s">
        <v>40</v>
      </c>
      <c r="J42" s="1">
        <v>34.583333333333336</v>
      </c>
      <c r="N42" s="3" t="s">
        <v>41</v>
      </c>
      <c r="O42" s="1">
        <v>3.1428571428571428</v>
      </c>
    </row>
    <row r="43" spans="3:15" x14ac:dyDescent="0.3">
      <c r="C43" s="3" t="s">
        <v>41</v>
      </c>
      <c r="D43">
        <v>19</v>
      </c>
      <c r="I43" s="3" t="s">
        <v>41</v>
      </c>
      <c r="J43" s="1">
        <v>38.684210526315788</v>
      </c>
      <c r="N43" s="3" t="s">
        <v>42</v>
      </c>
      <c r="O43" s="1">
        <v>8</v>
      </c>
    </row>
    <row r="44" spans="3:15" x14ac:dyDescent="0.3">
      <c r="C44" s="3" t="s">
        <v>42</v>
      </c>
      <c r="D44">
        <v>9</v>
      </c>
      <c r="I44" s="3" t="s">
        <v>42</v>
      </c>
      <c r="J44" s="1">
        <v>34.777777777777779</v>
      </c>
      <c r="N44" s="3" t="s">
        <v>43</v>
      </c>
      <c r="O44" s="1">
        <v>5.25</v>
      </c>
    </row>
    <row r="45" spans="3:15" x14ac:dyDescent="0.3">
      <c r="C45" s="3" t="s">
        <v>43</v>
      </c>
      <c r="D45">
        <v>13</v>
      </c>
      <c r="I45" s="3" t="s">
        <v>43</v>
      </c>
      <c r="J45" s="1">
        <v>37.307692307692307</v>
      </c>
      <c r="N45" s="3" t="s">
        <v>44</v>
      </c>
      <c r="O45" s="1">
        <v>4.5714285714285712</v>
      </c>
    </row>
    <row r="46" spans="3:15" x14ac:dyDescent="0.3">
      <c r="C46" s="3" t="s">
        <v>44</v>
      </c>
      <c r="D46">
        <v>19</v>
      </c>
      <c r="I46" s="3" t="s">
        <v>44</v>
      </c>
      <c r="J46" s="1">
        <v>35.631578947368418</v>
      </c>
      <c r="N46" s="3" t="s">
        <v>45</v>
      </c>
      <c r="O46" s="1">
        <v>2.75</v>
      </c>
    </row>
    <row r="47" spans="3:15" x14ac:dyDescent="0.3">
      <c r="C47" s="3" t="s">
        <v>45</v>
      </c>
      <c r="D47">
        <v>10</v>
      </c>
      <c r="I47" s="3" t="s">
        <v>45</v>
      </c>
      <c r="J47" s="1">
        <v>36.6</v>
      </c>
      <c r="N47" s="3" t="s">
        <v>46</v>
      </c>
      <c r="O47" s="1">
        <v>4.5</v>
      </c>
    </row>
    <row r="48" spans="3:15" x14ac:dyDescent="0.3">
      <c r="C48" s="3" t="s">
        <v>46</v>
      </c>
      <c r="D48">
        <v>20</v>
      </c>
      <c r="I48" s="3" t="s">
        <v>46</v>
      </c>
      <c r="J48" s="1">
        <v>39.700000000000003</v>
      </c>
      <c r="N48" s="3" t="s">
        <v>47</v>
      </c>
      <c r="O48" s="1">
        <v>5.5</v>
      </c>
    </row>
    <row r="49" spans="3:15" x14ac:dyDescent="0.3">
      <c r="C49" s="3" t="s">
        <v>47</v>
      </c>
      <c r="D49">
        <v>15</v>
      </c>
      <c r="I49" s="3" t="s">
        <v>47</v>
      </c>
      <c r="J49" s="1">
        <v>37.4</v>
      </c>
      <c r="N49" s="3" t="s">
        <v>48</v>
      </c>
      <c r="O49" s="1">
        <v>5.6</v>
      </c>
    </row>
    <row r="50" spans="3:15" x14ac:dyDescent="0.3">
      <c r="C50" s="3" t="s">
        <v>48</v>
      </c>
      <c r="D50">
        <v>13</v>
      </c>
      <c r="I50" s="3" t="s">
        <v>48</v>
      </c>
      <c r="J50" s="1">
        <v>27.76923076923077</v>
      </c>
      <c r="N50" s="3" t="s">
        <v>49</v>
      </c>
      <c r="O50" s="1">
        <v>5.75</v>
      </c>
    </row>
    <row r="51" spans="3:15" x14ac:dyDescent="0.3">
      <c r="C51" s="3" t="s">
        <v>49</v>
      </c>
      <c r="D51">
        <v>9</v>
      </c>
      <c r="I51" s="3" t="s">
        <v>49</v>
      </c>
      <c r="J51" s="1">
        <v>38.777777777777779</v>
      </c>
      <c r="N51" s="3" t="s">
        <v>50</v>
      </c>
      <c r="O51" s="1">
        <v>3.4444444444444446</v>
      </c>
    </row>
    <row r="52" spans="3:15" x14ac:dyDescent="0.3">
      <c r="C52" s="3" t="s">
        <v>50</v>
      </c>
      <c r="D52">
        <v>19</v>
      </c>
      <c r="I52" s="3" t="s">
        <v>50</v>
      </c>
      <c r="J52" s="1">
        <v>31</v>
      </c>
      <c r="N52" s="3" t="s">
        <v>51</v>
      </c>
      <c r="O52" s="1">
        <v>1.5</v>
      </c>
    </row>
    <row r="53" spans="3:15" x14ac:dyDescent="0.3">
      <c r="C53" s="3" t="s">
        <v>51</v>
      </c>
      <c r="D53">
        <v>14</v>
      </c>
      <c r="I53" s="3" t="s">
        <v>51</v>
      </c>
      <c r="J53" s="1">
        <v>35.928571428571431</v>
      </c>
      <c r="N53" s="3" t="s">
        <v>52</v>
      </c>
      <c r="O53" s="1">
        <v>3.6666666666666665</v>
      </c>
    </row>
    <row r="54" spans="3:15" x14ac:dyDescent="0.3">
      <c r="C54" s="3" t="s">
        <v>52</v>
      </c>
      <c r="D54">
        <v>17</v>
      </c>
      <c r="I54" s="3" t="s">
        <v>52</v>
      </c>
      <c r="J54" s="1">
        <v>37.882352941176471</v>
      </c>
      <c r="N54" s="3" t="s">
        <v>53</v>
      </c>
      <c r="O54" s="1">
        <v>4.4285714285714288</v>
      </c>
    </row>
    <row r="55" spans="3:15" x14ac:dyDescent="0.3">
      <c r="C55" s="3" t="s">
        <v>53</v>
      </c>
      <c r="D55">
        <v>17</v>
      </c>
      <c r="I55" s="3" t="s">
        <v>53</v>
      </c>
      <c r="J55" s="1">
        <v>40.588235294117645</v>
      </c>
      <c r="N55" s="3" t="s">
        <v>54</v>
      </c>
      <c r="O55" s="1">
        <v>6</v>
      </c>
    </row>
    <row r="56" spans="3:15" x14ac:dyDescent="0.3">
      <c r="C56" s="3" t="s">
        <v>54</v>
      </c>
      <c r="D56">
        <v>15</v>
      </c>
      <c r="I56" s="3" t="s">
        <v>54</v>
      </c>
      <c r="J56" s="1">
        <v>34.533333333333331</v>
      </c>
      <c r="N56" s="3" t="s">
        <v>55</v>
      </c>
      <c r="O56" s="1">
        <v>2.6666666666666665</v>
      </c>
    </row>
    <row r="57" spans="3:15" x14ac:dyDescent="0.3">
      <c r="C57" s="3" t="s">
        <v>55</v>
      </c>
      <c r="D57">
        <v>9</v>
      </c>
      <c r="I57" s="3" t="s">
        <v>55</v>
      </c>
      <c r="J57" s="1">
        <v>40.333333333333336</v>
      </c>
      <c r="N57" s="3" t="s">
        <v>56</v>
      </c>
      <c r="O57" s="1">
        <v>7.5</v>
      </c>
    </row>
    <row r="58" spans="3:15" x14ac:dyDescent="0.3">
      <c r="C58" s="3" t="s">
        <v>56</v>
      </c>
      <c r="D58">
        <v>14</v>
      </c>
      <c r="I58" s="3" t="s">
        <v>56</v>
      </c>
      <c r="J58" s="1">
        <v>35.285714285714285</v>
      </c>
      <c r="N58" s="3" t="s">
        <v>57</v>
      </c>
      <c r="O58" s="1">
        <v>4.5</v>
      </c>
    </row>
    <row r="59" spans="3:15" x14ac:dyDescent="0.3">
      <c r="C59" s="3" t="s">
        <v>57</v>
      </c>
      <c r="D59">
        <v>22</v>
      </c>
      <c r="I59" s="3" t="s">
        <v>57</v>
      </c>
      <c r="J59" s="1">
        <v>35.5</v>
      </c>
      <c r="N59" s="3" t="s">
        <v>58</v>
      </c>
      <c r="O59" s="1">
        <v>8</v>
      </c>
    </row>
    <row r="60" spans="3:15" x14ac:dyDescent="0.3">
      <c r="C60" s="3" t="s">
        <v>58</v>
      </c>
      <c r="D60">
        <v>16</v>
      </c>
      <c r="I60" s="3" t="s">
        <v>58</v>
      </c>
      <c r="J60" s="1">
        <v>38.5625</v>
      </c>
      <c r="N60" s="3" t="s">
        <v>59</v>
      </c>
      <c r="O60" s="1">
        <v>4.3636363636363633</v>
      </c>
    </row>
    <row r="61" spans="3:15" x14ac:dyDescent="0.3">
      <c r="C61" s="3" t="s">
        <v>59</v>
      </c>
      <c r="D61">
        <v>22</v>
      </c>
      <c r="I61" s="3" t="s">
        <v>59</v>
      </c>
      <c r="J61" s="1">
        <v>42.727272727272727</v>
      </c>
      <c r="N61" s="3" t="s">
        <v>60</v>
      </c>
      <c r="O61" s="1">
        <v>0</v>
      </c>
    </row>
    <row r="62" spans="3:15" x14ac:dyDescent="0.3">
      <c r="C62" s="3" t="s">
        <v>60</v>
      </c>
      <c r="D62">
        <v>12</v>
      </c>
      <c r="I62" s="3" t="s">
        <v>60</v>
      </c>
      <c r="J62" s="1">
        <v>37.416666666666664</v>
      </c>
      <c r="N62" s="3" t="s">
        <v>61</v>
      </c>
      <c r="O62" s="1">
        <v>10</v>
      </c>
    </row>
    <row r="63" spans="3:15" x14ac:dyDescent="0.3">
      <c r="C63" s="3" t="s">
        <v>61</v>
      </c>
      <c r="D63">
        <v>20</v>
      </c>
      <c r="I63" s="3" t="s">
        <v>61</v>
      </c>
      <c r="J63" s="1">
        <v>32.450000000000003</v>
      </c>
      <c r="N63" s="3" t="s">
        <v>63</v>
      </c>
      <c r="O63" s="1">
        <v>6.75</v>
      </c>
    </row>
    <row r="64" spans="3:15" x14ac:dyDescent="0.3">
      <c r="C64" s="3" t="s">
        <v>62</v>
      </c>
      <c r="D64">
        <v>18</v>
      </c>
      <c r="I64" s="3" t="s">
        <v>62</v>
      </c>
      <c r="J64" s="1">
        <v>40.055555555555557</v>
      </c>
      <c r="N64" s="3" t="s">
        <v>64</v>
      </c>
      <c r="O64" s="1">
        <v>7</v>
      </c>
    </row>
    <row r="65" spans="3:15" x14ac:dyDescent="0.3">
      <c r="C65" s="3" t="s">
        <v>63</v>
      </c>
      <c r="D65">
        <v>18</v>
      </c>
      <c r="I65" s="3" t="s">
        <v>63</v>
      </c>
      <c r="J65" s="1">
        <v>31.666666666666668</v>
      </c>
      <c r="N65" s="3" t="s">
        <v>65</v>
      </c>
      <c r="O65" s="1">
        <v>3.3333333333333335</v>
      </c>
    </row>
    <row r="66" spans="3:15" x14ac:dyDescent="0.3">
      <c r="C66" s="3" t="s">
        <v>64</v>
      </c>
      <c r="D66">
        <v>13</v>
      </c>
      <c r="I66" s="3" t="s">
        <v>64</v>
      </c>
      <c r="J66" s="1">
        <v>39.769230769230766</v>
      </c>
      <c r="N66" s="3" t="s">
        <v>66</v>
      </c>
      <c r="O66" s="1">
        <v>7.2</v>
      </c>
    </row>
    <row r="67" spans="3:15" x14ac:dyDescent="0.3">
      <c r="C67" s="3" t="s">
        <v>65</v>
      </c>
      <c r="D67">
        <v>15</v>
      </c>
      <c r="I67" s="3" t="s">
        <v>65</v>
      </c>
      <c r="J67" s="1">
        <v>36.733333333333334</v>
      </c>
      <c r="N67" s="3" t="s">
        <v>67</v>
      </c>
      <c r="O67" s="1">
        <v>6</v>
      </c>
    </row>
    <row r="68" spans="3:15" x14ac:dyDescent="0.3">
      <c r="C68" s="3" t="s">
        <v>66</v>
      </c>
      <c r="D68">
        <v>19</v>
      </c>
      <c r="I68" s="3" t="s">
        <v>66</v>
      </c>
      <c r="J68" s="1">
        <v>34.526315789473685</v>
      </c>
      <c r="N68" s="3" t="s">
        <v>68</v>
      </c>
      <c r="O68" s="1">
        <v>1.5</v>
      </c>
    </row>
    <row r="69" spans="3:15" x14ac:dyDescent="0.3">
      <c r="C69" s="3" t="s">
        <v>67</v>
      </c>
      <c r="D69">
        <v>24</v>
      </c>
      <c r="I69" s="3" t="s">
        <v>67</v>
      </c>
      <c r="J69" s="1">
        <v>33.708333333333336</v>
      </c>
      <c r="N69" s="3" t="s">
        <v>69</v>
      </c>
      <c r="O69" s="1">
        <v>2.75</v>
      </c>
    </row>
    <row r="70" spans="3:15" x14ac:dyDescent="0.3">
      <c r="C70" s="3" t="s">
        <v>68</v>
      </c>
      <c r="D70">
        <v>24</v>
      </c>
      <c r="I70" s="3" t="s">
        <v>68</v>
      </c>
      <c r="J70" s="1">
        <v>36.291666666666664</v>
      </c>
      <c r="N70" s="3" t="s">
        <v>70</v>
      </c>
      <c r="O70" s="1">
        <v>5</v>
      </c>
    </row>
    <row r="71" spans="3:15" x14ac:dyDescent="0.3">
      <c r="C71" s="3" t="s">
        <v>69</v>
      </c>
      <c r="D71">
        <v>14</v>
      </c>
      <c r="I71" s="3" t="s">
        <v>69</v>
      </c>
      <c r="J71" s="1">
        <v>35.071428571428569</v>
      </c>
      <c r="N71" s="3" t="s">
        <v>71</v>
      </c>
      <c r="O71" s="1">
        <v>5.5</v>
      </c>
    </row>
    <row r="72" spans="3:15" x14ac:dyDescent="0.3">
      <c r="C72" s="3" t="s">
        <v>70</v>
      </c>
      <c r="D72">
        <v>14</v>
      </c>
      <c r="I72" s="3" t="s">
        <v>70</v>
      </c>
      <c r="J72" s="1">
        <v>31.571428571428573</v>
      </c>
      <c r="N72" s="3" t="s">
        <v>72</v>
      </c>
      <c r="O72" s="1">
        <v>5.0909090909090908</v>
      </c>
    </row>
    <row r="73" spans="3:15" x14ac:dyDescent="0.3">
      <c r="C73" s="3" t="s">
        <v>71</v>
      </c>
      <c r="D73">
        <v>16</v>
      </c>
      <c r="I73" s="3" t="s">
        <v>71</v>
      </c>
      <c r="J73" s="1">
        <v>31.8125</v>
      </c>
      <c r="N73" s="3" t="s">
        <v>73</v>
      </c>
      <c r="O73" s="1">
        <v>7.666666666666667</v>
      </c>
    </row>
    <row r="74" spans="3:15" x14ac:dyDescent="0.3">
      <c r="C74" s="3" t="s">
        <v>72</v>
      </c>
      <c r="D74">
        <v>26</v>
      </c>
      <c r="I74" s="3" t="s">
        <v>72</v>
      </c>
      <c r="J74" s="1">
        <v>36.846153846153847</v>
      </c>
      <c r="N74" s="3" t="s">
        <v>74</v>
      </c>
      <c r="O74" s="1">
        <v>3.5</v>
      </c>
    </row>
    <row r="75" spans="3:15" x14ac:dyDescent="0.3">
      <c r="C75" s="3" t="s">
        <v>73</v>
      </c>
      <c r="D75">
        <v>14</v>
      </c>
      <c r="I75" s="3" t="s">
        <v>73</v>
      </c>
      <c r="J75" s="1">
        <v>34.071428571428569</v>
      </c>
      <c r="N75" s="3" t="s">
        <v>75</v>
      </c>
      <c r="O75" s="1">
        <v>3.6666666666666665</v>
      </c>
    </row>
    <row r="76" spans="3:15" x14ac:dyDescent="0.3">
      <c r="C76" s="3" t="s">
        <v>74</v>
      </c>
      <c r="D76">
        <v>22</v>
      </c>
      <c r="I76" s="3" t="s">
        <v>74</v>
      </c>
      <c r="J76" s="1">
        <v>33</v>
      </c>
      <c r="N76" s="3" t="s">
        <v>76</v>
      </c>
      <c r="O76" s="1">
        <v>3.8</v>
      </c>
    </row>
    <row r="77" spans="3:15" x14ac:dyDescent="0.3">
      <c r="C77" s="3" t="s">
        <v>75</v>
      </c>
      <c r="D77">
        <v>18</v>
      </c>
      <c r="I77" s="3" t="s">
        <v>75</v>
      </c>
      <c r="J77" s="1">
        <v>40.222222222222221</v>
      </c>
      <c r="N77" s="3" t="s">
        <v>77</v>
      </c>
      <c r="O77" s="1">
        <v>1</v>
      </c>
    </row>
    <row r="78" spans="3:15" x14ac:dyDescent="0.3">
      <c r="C78" s="3" t="s">
        <v>76</v>
      </c>
      <c r="D78">
        <v>20</v>
      </c>
      <c r="I78" s="3" t="s">
        <v>76</v>
      </c>
      <c r="J78" s="1">
        <v>42.05</v>
      </c>
      <c r="N78" s="3" t="s">
        <v>78</v>
      </c>
      <c r="O78" s="1">
        <v>7</v>
      </c>
    </row>
    <row r="79" spans="3:15" x14ac:dyDescent="0.3">
      <c r="C79" s="3" t="s">
        <v>77</v>
      </c>
      <c r="D79">
        <v>13</v>
      </c>
      <c r="I79" s="3" t="s">
        <v>77</v>
      </c>
      <c r="J79" s="1">
        <v>42.615384615384613</v>
      </c>
      <c r="N79" s="3" t="s">
        <v>79</v>
      </c>
      <c r="O79" s="1">
        <v>5</v>
      </c>
    </row>
    <row r="80" spans="3:15" x14ac:dyDescent="0.3">
      <c r="C80" s="3" t="s">
        <v>78</v>
      </c>
      <c r="D80">
        <v>13</v>
      </c>
      <c r="I80" s="3" t="s">
        <v>78</v>
      </c>
      <c r="J80" s="1">
        <v>40.46153846153846</v>
      </c>
      <c r="N80" s="3" t="s">
        <v>80</v>
      </c>
      <c r="O80" s="1">
        <v>4.25</v>
      </c>
    </row>
    <row r="81" spans="3:15" x14ac:dyDescent="0.3">
      <c r="C81" s="3" t="s">
        <v>79</v>
      </c>
      <c r="D81">
        <v>14</v>
      </c>
      <c r="I81" s="3" t="s">
        <v>79</v>
      </c>
      <c r="J81" s="1">
        <v>34.071428571428569</v>
      </c>
      <c r="N81" s="3" t="s">
        <v>81</v>
      </c>
      <c r="O81" s="1">
        <v>4</v>
      </c>
    </row>
    <row r="82" spans="3:15" x14ac:dyDescent="0.3">
      <c r="C82" s="3" t="s">
        <v>80</v>
      </c>
      <c r="D82">
        <v>13</v>
      </c>
      <c r="I82" s="3" t="s">
        <v>80</v>
      </c>
      <c r="J82" s="1">
        <v>33.92307692307692</v>
      </c>
      <c r="N82" s="3" t="s">
        <v>82</v>
      </c>
      <c r="O82" s="1">
        <v>7.333333333333333</v>
      </c>
    </row>
    <row r="83" spans="3:15" x14ac:dyDescent="0.3">
      <c r="C83" s="3" t="s">
        <v>81</v>
      </c>
      <c r="D83">
        <v>18</v>
      </c>
      <c r="I83" s="3" t="s">
        <v>81</v>
      </c>
      <c r="J83" s="1">
        <v>43.166666666666664</v>
      </c>
      <c r="N83" s="3" t="s">
        <v>83</v>
      </c>
      <c r="O83" s="1">
        <v>9</v>
      </c>
    </row>
    <row r="84" spans="3:15" x14ac:dyDescent="0.3">
      <c r="C84" s="3" t="s">
        <v>82</v>
      </c>
      <c r="D84">
        <v>12</v>
      </c>
      <c r="I84" s="3" t="s">
        <v>82</v>
      </c>
      <c r="J84" s="1">
        <v>42.25</v>
      </c>
      <c r="N84" s="3" t="s">
        <v>84</v>
      </c>
      <c r="O84" s="1">
        <v>5.25</v>
      </c>
    </row>
    <row r="85" spans="3:15" x14ac:dyDescent="0.3">
      <c r="C85" s="3" t="s">
        <v>83</v>
      </c>
      <c r="D85">
        <v>11</v>
      </c>
      <c r="I85" s="3" t="s">
        <v>83</v>
      </c>
      <c r="J85" s="1">
        <v>44.090909090909093</v>
      </c>
      <c r="N85" s="3" t="s">
        <v>85</v>
      </c>
      <c r="O85" s="1">
        <v>6.6</v>
      </c>
    </row>
    <row r="86" spans="3:15" x14ac:dyDescent="0.3">
      <c r="C86" s="3" t="s">
        <v>84</v>
      </c>
      <c r="D86">
        <v>14</v>
      </c>
      <c r="I86" s="3" t="s">
        <v>84</v>
      </c>
      <c r="J86" s="1">
        <v>39</v>
      </c>
      <c r="N86" s="3" t="s">
        <v>86</v>
      </c>
      <c r="O86" s="1">
        <v>6.25</v>
      </c>
    </row>
    <row r="87" spans="3:15" x14ac:dyDescent="0.3">
      <c r="C87" s="3" t="s">
        <v>85</v>
      </c>
      <c r="D87">
        <v>12</v>
      </c>
      <c r="I87" s="3" t="s">
        <v>85</v>
      </c>
      <c r="J87" s="1">
        <v>31.25</v>
      </c>
      <c r="N87" s="3" t="s">
        <v>87</v>
      </c>
      <c r="O87" s="1">
        <v>6.333333333333333</v>
      </c>
    </row>
    <row r="88" spans="3:15" x14ac:dyDescent="0.3">
      <c r="C88" s="3" t="s">
        <v>86</v>
      </c>
      <c r="D88">
        <v>16</v>
      </c>
      <c r="I88" s="3" t="s">
        <v>86</v>
      </c>
      <c r="J88" s="1">
        <v>28.5</v>
      </c>
      <c r="N88" s="3" t="s">
        <v>88</v>
      </c>
      <c r="O88" s="1">
        <v>7</v>
      </c>
    </row>
    <row r="89" spans="3:15" x14ac:dyDescent="0.3">
      <c r="C89" s="3" t="s">
        <v>87</v>
      </c>
      <c r="D89">
        <v>16</v>
      </c>
      <c r="I89" s="3" t="s">
        <v>87</v>
      </c>
      <c r="J89" s="1">
        <v>34.0625</v>
      </c>
      <c r="N89" s="3" t="s">
        <v>89</v>
      </c>
      <c r="O89" s="1">
        <v>5.666666666666667</v>
      </c>
    </row>
    <row r="90" spans="3:15" x14ac:dyDescent="0.3">
      <c r="C90" s="3" t="s">
        <v>88</v>
      </c>
      <c r="D90">
        <v>15</v>
      </c>
      <c r="I90" s="3" t="s">
        <v>88</v>
      </c>
      <c r="J90" s="1">
        <v>25.2</v>
      </c>
      <c r="N90" s="3" t="s">
        <v>90</v>
      </c>
      <c r="O90" s="1">
        <v>3.3333333333333335</v>
      </c>
    </row>
    <row r="91" spans="3:15" x14ac:dyDescent="0.3">
      <c r="C91" s="3" t="s">
        <v>89</v>
      </c>
      <c r="D91">
        <v>22</v>
      </c>
      <c r="I91" s="3" t="s">
        <v>89</v>
      </c>
      <c r="J91" s="1">
        <v>35.863636363636367</v>
      </c>
      <c r="N91" s="3" t="s">
        <v>91</v>
      </c>
      <c r="O91" s="1">
        <v>4.75</v>
      </c>
    </row>
    <row r="92" spans="3:15" x14ac:dyDescent="0.3">
      <c r="C92" s="3" t="s">
        <v>90</v>
      </c>
      <c r="D92">
        <v>18</v>
      </c>
      <c r="I92" s="3" t="s">
        <v>90</v>
      </c>
      <c r="J92" s="1">
        <v>39.833333333333336</v>
      </c>
      <c r="N92" s="3" t="s">
        <v>92</v>
      </c>
      <c r="O92" s="1">
        <v>2</v>
      </c>
    </row>
    <row r="93" spans="3:15" x14ac:dyDescent="0.3">
      <c r="C93" s="3" t="s">
        <v>91</v>
      </c>
      <c r="D93">
        <v>10</v>
      </c>
      <c r="I93" s="3" t="s">
        <v>91</v>
      </c>
      <c r="J93" s="1">
        <v>37</v>
      </c>
      <c r="N93" s="3" t="s">
        <v>93</v>
      </c>
      <c r="O93" s="1">
        <v>9.25</v>
      </c>
    </row>
    <row r="94" spans="3:15" x14ac:dyDescent="0.3">
      <c r="C94" s="3" t="s">
        <v>92</v>
      </c>
      <c r="D94">
        <v>17</v>
      </c>
      <c r="I94" s="3" t="s">
        <v>92</v>
      </c>
      <c r="J94" s="1">
        <v>39.411764705882355</v>
      </c>
      <c r="N94" s="3" t="s">
        <v>94</v>
      </c>
      <c r="O94" s="1">
        <v>2.6666666666666665</v>
      </c>
    </row>
    <row r="95" spans="3:15" x14ac:dyDescent="0.3">
      <c r="C95" s="3" t="s">
        <v>93</v>
      </c>
      <c r="D95">
        <v>17</v>
      </c>
      <c r="I95" s="3" t="s">
        <v>93</v>
      </c>
      <c r="J95" s="1">
        <v>30.294117647058822</v>
      </c>
      <c r="N95" s="3" t="s">
        <v>95</v>
      </c>
      <c r="O95" s="1">
        <v>4</v>
      </c>
    </row>
    <row r="96" spans="3:15" x14ac:dyDescent="0.3">
      <c r="C96" s="3" t="s">
        <v>94</v>
      </c>
      <c r="D96">
        <v>12</v>
      </c>
      <c r="I96" s="3" t="s">
        <v>94</v>
      </c>
      <c r="J96" s="1">
        <v>32.666666666666664</v>
      </c>
      <c r="N96" s="3" t="s">
        <v>96</v>
      </c>
      <c r="O96" s="1">
        <v>8.75</v>
      </c>
    </row>
    <row r="97" spans="3:15" x14ac:dyDescent="0.3">
      <c r="C97" s="3" t="s">
        <v>95</v>
      </c>
      <c r="D97">
        <v>14</v>
      </c>
      <c r="I97" s="3" t="s">
        <v>95</v>
      </c>
      <c r="J97" s="1">
        <v>30.571428571428573</v>
      </c>
      <c r="N97" s="3" t="s">
        <v>98</v>
      </c>
      <c r="O97" s="1">
        <v>4.5999999999999996</v>
      </c>
    </row>
    <row r="98" spans="3:15" x14ac:dyDescent="0.3">
      <c r="C98" s="3" t="s">
        <v>96</v>
      </c>
      <c r="D98">
        <v>18</v>
      </c>
      <c r="I98" s="3" t="s">
        <v>96</v>
      </c>
      <c r="J98" s="1">
        <v>39.055555555555557</v>
      </c>
      <c r="N98" s="3" t="s">
        <v>99</v>
      </c>
      <c r="O98" s="1">
        <v>4.5999999999999996</v>
      </c>
    </row>
    <row r="99" spans="3:15" x14ac:dyDescent="0.3">
      <c r="C99" s="3" t="s">
        <v>97</v>
      </c>
      <c r="D99">
        <v>12</v>
      </c>
      <c r="I99" s="3" t="s">
        <v>97</v>
      </c>
      <c r="J99" s="1">
        <v>31.833333333333332</v>
      </c>
      <c r="N99" s="3" t="s">
        <v>100</v>
      </c>
      <c r="O99" s="1">
        <v>5.666666666666667</v>
      </c>
    </row>
    <row r="100" spans="3:15" x14ac:dyDescent="0.3">
      <c r="C100" s="3" t="s">
        <v>98</v>
      </c>
      <c r="D100">
        <v>19</v>
      </c>
      <c r="I100" s="3" t="s">
        <v>98</v>
      </c>
      <c r="J100" s="1">
        <v>39.368421052631582</v>
      </c>
      <c r="N100" s="3" t="s">
        <v>101</v>
      </c>
      <c r="O100" s="1">
        <v>3.4</v>
      </c>
    </row>
    <row r="101" spans="3:15" x14ac:dyDescent="0.3">
      <c r="C101" s="3" t="s">
        <v>99</v>
      </c>
      <c r="D101">
        <v>17</v>
      </c>
      <c r="I101" s="3" t="s">
        <v>99</v>
      </c>
      <c r="J101" s="1">
        <v>32.352941176470587</v>
      </c>
      <c r="N101" s="3" t="s">
        <v>102</v>
      </c>
      <c r="O101" s="1">
        <v>4.333333333333333</v>
      </c>
    </row>
    <row r="102" spans="3:15" x14ac:dyDescent="0.3">
      <c r="C102" s="3" t="s">
        <v>100</v>
      </c>
      <c r="D102">
        <v>20</v>
      </c>
      <c r="I102" s="3" t="s">
        <v>100</v>
      </c>
      <c r="J102" s="1">
        <v>34.049999999999997</v>
      </c>
      <c r="N102" s="3" t="s">
        <v>103</v>
      </c>
      <c r="O102" s="1">
        <v>4.4000000000000004</v>
      </c>
    </row>
    <row r="103" spans="3:15" x14ac:dyDescent="0.3">
      <c r="C103" s="3" t="s">
        <v>101</v>
      </c>
      <c r="D103">
        <v>15</v>
      </c>
      <c r="I103" s="3" t="s">
        <v>101</v>
      </c>
      <c r="J103" s="1">
        <v>31.8</v>
      </c>
      <c r="N103" s="3" t="s">
        <v>104</v>
      </c>
      <c r="O103" s="1">
        <v>4.25</v>
      </c>
    </row>
    <row r="104" spans="3:15" x14ac:dyDescent="0.3">
      <c r="C104" s="3" t="s">
        <v>102</v>
      </c>
      <c r="D104">
        <v>17</v>
      </c>
      <c r="I104" s="3" t="s">
        <v>102</v>
      </c>
      <c r="J104" s="1">
        <v>37.823529411764703</v>
      </c>
      <c r="N104" s="3" t="s">
        <v>105</v>
      </c>
      <c r="O104" s="1">
        <v>4.5999999999999996</v>
      </c>
    </row>
    <row r="105" spans="3:15" x14ac:dyDescent="0.3">
      <c r="C105" s="3" t="s">
        <v>103</v>
      </c>
      <c r="D105">
        <v>16</v>
      </c>
      <c r="I105" s="3" t="s">
        <v>103</v>
      </c>
      <c r="J105" s="1">
        <v>31.875</v>
      </c>
      <c r="N105" s="3" t="s">
        <v>107</v>
      </c>
      <c r="O105" s="1">
        <v>2.3333333333333335</v>
      </c>
    </row>
    <row r="106" spans="3:15" x14ac:dyDescent="0.3">
      <c r="C106" s="3" t="s">
        <v>104</v>
      </c>
      <c r="D106">
        <v>10</v>
      </c>
      <c r="I106" s="3" t="s">
        <v>104</v>
      </c>
      <c r="J106" s="1">
        <v>27.3</v>
      </c>
      <c r="N106" s="3" t="s">
        <v>108</v>
      </c>
      <c r="O106" s="1">
        <v>9</v>
      </c>
    </row>
    <row r="107" spans="3:15" x14ac:dyDescent="0.3">
      <c r="C107" s="3" t="s">
        <v>105</v>
      </c>
      <c r="D107">
        <v>15</v>
      </c>
      <c r="I107" s="3" t="s">
        <v>105</v>
      </c>
      <c r="J107" s="1">
        <v>31.933333333333334</v>
      </c>
      <c r="N107" s="3" t="s">
        <v>109</v>
      </c>
      <c r="O107" s="1">
        <v>2.75</v>
      </c>
    </row>
    <row r="108" spans="3:15" x14ac:dyDescent="0.3">
      <c r="C108" s="3" t="s">
        <v>106</v>
      </c>
      <c r="D108">
        <v>14</v>
      </c>
      <c r="I108" s="3" t="s">
        <v>106</v>
      </c>
      <c r="J108" s="1">
        <v>30.5</v>
      </c>
      <c r="N108" s="3" t="s">
        <v>110</v>
      </c>
      <c r="O108" s="1">
        <v>6.8888888888888893</v>
      </c>
    </row>
    <row r="109" spans="3:15" x14ac:dyDescent="0.3">
      <c r="C109" s="3" t="s">
        <v>107</v>
      </c>
      <c r="D109">
        <v>16</v>
      </c>
      <c r="I109" s="3" t="s">
        <v>107</v>
      </c>
      <c r="J109" s="1">
        <v>38.0625</v>
      </c>
      <c r="N109" s="3" t="s">
        <v>111</v>
      </c>
      <c r="O109" s="1">
        <v>5</v>
      </c>
    </row>
    <row r="110" spans="3:15" x14ac:dyDescent="0.3">
      <c r="C110" s="3" t="s">
        <v>108</v>
      </c>
      <c r="D110">
        <v>12</v>
      </c>
      <c r="I110" s="3" t="s">
        <v>108</v>
      </c>
      <c r="J110" s="1">
        <v>36.333333333333336</v>
      </c>
      <c r="N110" s="3" t="s">
        <v>112</v>
      </c>
      <c r="O110" s="1">
        <v>4.166666666666667</v>
      </c>
    </row>
    <row r="111" spans="3:15" x14ac:dyDescent="0.3">
      <c r="C111" s="3" t="s">
        <v>109</v>
      </c>
      <c r="D111">
        <v>12</v>
      </c>
      <c r="I111" s="3" t="s">
        <v>109</v>
      </c>
      <c r="J111" s="1">
        <v>27</v>
      </c>
      <c r="N111" s="3" t="s">
        <v>113</v>
      </c>
      <c r="O111" s="1">
        <v>2.5</v>
      </c>
    </row>
    <row r="112" spans="3:15" x14ac:dyDescent="0.3">
      <c r="C112" s="3" t="s">
        <v>110</v>
      </c>
      <c r="D112">
        <v>13</v>
      </c>
      <c r="I112" s="3" t="s">
        <v>110</v>
      </c>
      <c r="J112" s="1">
        <v>37.46153846153846</v>
      </c>
      <c r="N112" s="3" t="s">
        <v>114</v>
      </c>
      <c r="O112" s="1">
        <v>6</v>
      </c>
    </row>
    <row r="113" spans="3:15" x14ac:dyDescent="0.3">
      <c r="C113" s="3" t="s">
        <v>111</v>
      </c>
      <c r="D113">
        <v>20</v>
      </c>
      <c r="I113" s="3" t="s">
        <v>111</v>
      </c>
      <c r="J113" s="1">
        <v>39.25</v>
      </c>
      <c r="N113" s="3" t="s">
        <v>115</v>
      </c>
      <c r="O113" s="1">
        <v>3.8</v>
      </c>
    </row>
    <row r="114" spans="3:15" x14ac:dyDescent="0.3">
      <c r="C114" s="3" t="s">
        <v>112</v>
      </c>
      <c r="D114">
        <v>17</v>
      </c>
      <c r="I114" s="3" t="s">
        <v>112</v>
      </c>
      <c r="J114" s="1">
        <v>33.647058823529413</v>
      </c>
      <c r="N114" s="3" t="s">
        <v>116</v>
      </c>
      <c r="O114" s="1">
        <v>3.6</v>
      </c>
    </row>
    <row r="115" spans="3:15" x14ac:dyDescent="0.3">
      <c r="C115" s="3" t="s">
        <v>113</v>
      </c>
      <c r="D115">
        <v>10</v>
      </c>
      <c r="I115" s="3" t="s">
        <v>113</v>
      </c>
      <c r="J115" s="1">
        <v>42.2</v>
      </c>
      <c r="N115" s="3" t="s">
        <v>118</v>
      </c>
      <c r="O115" s="1">
        <v>5.8571428571428568</v>
      </c>
    </row>
    <row r="116" spans="3:15" x14ac:dyDescent="0.3">
      <c r="C116" s="3" t="s">
        <v>114</v>
      </c>
      <c r="D116">
        <v>16</v>
      </c>
      <c r="I116" s="3" t="s">
        <v>114</v>
      </c>
      <c r="J116" s="1">
        <v>33.3125</v>
      </c>
      <c r="N116" s="3" t="s">
        <v>119</v>
      </c>
      <c r="O116" s="1">
        <v>6.25</v>
      </c>
    </row>
    <row r="117" spans="3:15" x14ac:dyDescent="0.3">
      <c r="C117" s="3" t="s">
        <v>115</v>
      </c>
      <c r="D117">
        <v>13</v>
      </c>
      <c r="I117" s="3" t="s">
        <v>115</v>
      </c>
      <c r="J117" s="1">
        <v>25.76923076923077</v>
      </c>
      <c r="N117" s="3" t="s">
        <v>120</v>
      </c>
      <c r="O117" s="1">
        <v>4.666666666666667</v>
      </c>
    </row>
    <row r="118" spans="3:15" x14ac:dyDescent="0.3">
      <c r="C118" s="3" t="s">
        <v>116</v>
      </c>
      <c r="D118">
        <v>16</v>
      </c>
      <c r="I118" s="3" t="s">
        <v>116</v>
      </c>
      <c r="J118" s="1">
        <v>37.125</v>
      </c>
      <c r="N118" s="3" t="s">
        <v>121</v>
      </c>
      <c r="O118" s="1">
        <v>0</v>
      </c>
    </row>
    <row r="119" spans="3:15" x14ac:dyDescent="0.3">
      <c r="C119" s="3" t="s">
        <v>117</v>
      </c>
      <c r="D119">
        <v>18</v>
      </c>
      <c r="I119" s="3" t="s">
        <v>117</v>
      </c>
      <c r="J119" s="1">
        <v>37</v>
      </c>
      <c r="N119" s="3" t="s">
        <v>122</v>
      </c>
      <c r="O119" s="1">
        <v>4.666666666666667</v>
      </c>
    </row>
    <row r="120" spans="3:15" x14ac:dyDescent="0.3">
      <c r="C120" s="3" t="s">
        <v>118</v>
      </c>
      <c r="D120">
        <v>21</v>
      </c>
      <c r="I120" s="3" t="s">
        <v>118</v>
      </c>
      <c r="J120" s="1">
        <v>36.80952380952381</v>
      </c>
      <c r="N120" s="3" t="s">
        <v>123</v>
      </c>
      <c r="O120" s="1">
        <v>2.8</v>
      </c>
    </row>
    <row r="121" spans="3:15" x14ac:dyDescent="0.3">
      <c r="C121" s="3" t="s">
        <v>119</v>
      </c>
      <c r="D121">
        <v>15</v>
      </c>
      <c r="I121" s="3" t="s">
        <v>119</v>
      </c>
      <c r="J121" s="1">
        <v>39.799999999999997</v>
      </c>
      <c r="N121" s="3" t="s">
        <v>124</v>
      </c>
      <c r="O121" s="1">
        <v>4.2</v>
      </c>
    </row>
    <row r="122" spans="3:15" x14ac:dyDescent="0.3">
      <c r="C122" s="3" t="s">
        <v>120</v>
      </c>
      <c r="D122">
        <v>18</v>
      </c>
      <c r="I122" s="3" t="s">
        <v>120</v>
      </c>
      <c r="J122" s="1">
        <v>38</v>
      </c>
      <c r="N122" s="3" t="s">
        <v>125</v>
      </c>
      <c r="O122" s="1">
        <v>2.5</v>
      </c>
    </row>
    <row r="123" spans="3:15" x14ac:dyDescent="0.3">
      <c r="C123" s="3" t="s">
        <v>121</v>
      </c>
      <c r="D123">
        <v>15</v>
      </c>
      <c r="I123" s="3" t="s">
        <v>121</v>
      </c>
      <c r="J123" s="1">
        <v>36.133333333333333</v>
      </c>
      <c r="N123" s="3" t="s">
        <v>126</v>
      </c>
      <c r="O123" s="1">
        <v>5</v>
      </c>
    </row>
    <row r="124" spans="3:15" x14ac:dyDescent="0.3">
      <c r="C124" s="3" t="s">
        <v>122</v>
      </c>
      <c r="D124">
        <v>18</v>
      </c>
      <c r="I124" s="3" t="s">
        <v>122</v>
      </c>
      <c r="J124" s="1">
        <v>36.555555555555557</v>
      </c>
      <c r="N124" s="3" t="s">
        <v>127</v>
      </c>
      <c r="O124" s="1">
        <v>7.4</v>
      </c>
    </row>
    <row r="125" spans="3:15" x14ac:dyDescent="0.3">
      <c r="C125" s="3" t="s">
        <v>123</v>
      </c>
      <c r="D125">
        <v>19</v>
      </c>
      <c r="I125" s="3" t="s">
        <v>123</v>
      </c>
      <c r="J125" s="1">
        <v>39.210526315789473</v>
      </c>
      <c r="N125" s="3" t="s">
        <v>128</v>
      </c>
      <c r="O125" s="1">
        <v>5.6</v>
      </c>
    </row>
    <row r="126" spans="3:15" x14ac:dyDescent="0.3">
      <c r="C126" s="3" t="s">
        <v>124</v>
      </c>
      <c r="D126">
        <v>16</v>
      </c>
      <c r="I126" s="3" t="s">
        <v>124</v>
      </c>
      <c r="J126" s="1">
        <v>31.1875</v>
      </c>
      <c r="N126" s="3" t="s">
        <v>129</v>
      </c>
      <c r="O126" s="1">
        <v>6.7142857142857144</v>
      </c>
    </row>
    <row r="127" spans="3:15" x14ac:dyDescent="0.3">
      <c r="C127" s="3" t="s">
        <v>125</v>
      </c>
      <c r="D127">
        <v>13</v>
      </c>
      <c r="I127" s="3" t="s">
        <v>125</v>
      </c>
      <c r="J127" s="1">
        <v>35.153846153846153</v>
      </c>
      <c r="N127" s="3" t="s">
        <v>130</v>
      </c>
      <c r="O127" s="1">
        <v>6</v>
      </c>
    </row>
    <row r="128" spans="3:15" x14ac:dyDescent="0.3">
      <c r="C128" s="3" t="s">
        <v>126</v>
      </c>
      <c r="D128">
        <v>16</v>
      </c>
      <c r="I128" s="3" t="s">
        <v>126</v>
      </c>
      <c r="J128" s="1">
        <v>34.25</v>
      </c>
      <c r="N128" s="3" t="s">
        <v>131</v>
      </c>
      <c r="O128" s="1">
        <v>4</v>
      </c>
    </row>
    <row r="129" spans="3:15" x14ac:dyDescent="0.3">
      <c r="C129" s="3" t="s">
        <v>127</v>
      </c>
      <c r="D129">
        <v>14</v>
      </c>
      <c r="I129" s="3" t="s">
        <v>127</v>
      </c>
      <c r="J129" s="1">
        <v>35.642857142857146</v>
      </c>
      <c r="N129" s="3" t="s">
        <v>132</v>
      </c>
      <c r="O129" s="1">
        <v>4.7142857142857144</v>
      </c>
    </row>
    <row r="130" spans="3:15" x14ac:dyDescent="0.3">
      <c r="C130" s="3" t="s">
        <v>128</v>
      </c>
      <c r="D130">
        <v>21</v>
      </c>
      <c r="I130" s="3" t="s">
        <v>128</v>
      </c>
      <c r="J130" s="1">
        <v>27</v>
      </c>
      <c r="N130" s="3" t="s">
        <v>133</v>
      </c>
      <c r="O130" s="1">
        <v>1.8</v>
      </c>
    </row>
    <row r="131" spans="3:15" x14ac:dyDescent="0.3">
      <c r="C131" s="3" t="s">
        <v>129</v>
      </c>
      <c r="D131">
        <v>21</v>
      </c>
      <c r="I131" s="3" t="s">
        <v>129</v>
      </c>
      <c r="J131" s="1">
        <v>36.047619047619051</v>
      </c>
      <c r="N131" s="3" t="s">
        <v>134</v>
      </c>
      <c r="O131" s="1">
        <v>4.833333333333333</v>
      </c>
    </row>
    <row r="132" spans="3:15" x14ac:dyDescent="0.3">
      <c r="C132" s="3" t="s">
        <v>130</v>
      </c>
      <c r="D132">
        <v>15</v>
      </c>
      <c r="I132" s="3" t="s">
        <v>130</v>
      </c>
      <c r="J132" s="1">
        <v>38.866666666666667</v>
      </c>
      <c r="N132" s="3" t="s">
        <v>135</v>
      </c>
      <c r="O132" s="1">
        <v>4.25</v>
      </c>
    </row>
    <row r="133" spans="3:15" x14ac:dyDescent="0.3">
      <c r="C133" s="3" t="s">
        <v>131</v>
      </c>
      <c r="D133">
        <v>11</v>
      </c>
      <c r="I133" s="3" t="s">
        <v>131</v>
      </c>
      <c r="J133" s="1">
        <v>35.909090909090907</v>
      </c>
      <c r="N133" s="3" t="s">
        <v>136</v>
      </c>
      <c r="O133" s="1">
        <v>4.5999999999999996</v>
      </c>
    </row>
    <row r="134" spans="3:15" x14ac:dyDescent="0.3">
      <c r="C134" s="3" t="s">
        <v>132</v>
      </c>
      <c r="D134">
        <v>17</v>
      </c>
      <c r="I134" s="3" t="s">
        <v>132</v>
      </c>
      <c r="J134" s="1">
        <v>38.470588235294116</v>
      </c>
      <c r="N134" s="3" t="s">
        <v>137</v>
      </c>
      <c r="O134" s="1">
        <v>6.5</v>
      </c>
    </row>
    <row r="135" spans="3:15" x14ac:dyDescent="0.3">
      <c r="C135" s="3" t="s">
        <v>133</v>
      </c>
      <c r="D135">
        <v>15</v>
      </c>
      <c r="I135" s="3" t="s">
        <v>133</v>
      </c>
      <c r="J135" s="1">
        <v>36.733333333333334</v>
      </c>
      <c r="N135" s="3" t="s">
        <v>138</v>
      </c>
      <c r="O135" s="1">
        <v>5</v>
      </c>
    </row>
    <row r="136" spans="3:15" x14ac:dyDescent="0.3">
      <c r="C136" s="3" t="s">
        <v>134</v>
      </c>
      <c r="D136">
        <v>17</v>
      </c>
      <c r="I136" s="3" t="s">
        <v>134</v>
      </c>
      <c r="J136" s="1">
        <v>34.588235294117645</v>
      </c>
      <c r="N136" s="3" t="s">
        <v>139</v>
      </c>
      <c r="O136" s="1">
        <v>6</v>
      </c>
    </row>
    <row r="137" spans="3:15" x14ac:dyDescent="0.3">
      <c r="C137" s="3" t="s">
        <v>135</v>
      </c>
      <c r="D137">
        <v>13</v>
      </c>
      <c r="I137" s="3" t="s">
        <v>135</v>
      </c>
      <c r="J137" s="1">
        <v>37.53846153846154</v>
      </c>
      <c r="N137" s="3" t="s">
        <v>140</v>
      </c>
      <c r="O137" s="1">
        <v>4.7142857142857144</v>
      </c>
    </row>
    <row r="138" spans="3:15" x14ac:dyDescent="0.3">
      <c r="C138" s="3" t="s">
        <v>136</v>
      </c>
      <c r="D138">
        <v>24</v>
      </c>
      <c r="I138" s="3" t="s">
        <v>136</v>
      </c>
      <c r="J138" s="1">
        <v>31.708333333333332</v>
      </c>
      <c r="N138" s="3" t="s">
        <v>141</v>
      </c>
      <c r="O138" s="1">
        <v>4.2</v>
      </c>
    </row>
    <row r="139" spans="3:15" x14ac:dyDescent="0.3">
      <c r="C139" s="3" t="s">
        <v>137</v>
      </c>
      <c r="D139">
        <v>13</v>
      </c>
      <c r="I139" s="3" t="s">
        <v>137</v>
      </c>
      <c r="J139" s="1">
        <v>28.923076923076923</v>
      </c>
      <c r="N139" s="3" t="s">
        <v>142</v>
      </c>
      <c r="O139" s="1">
        <v>7.2</v>
      </c>
    </row>
    <row r="140" spans="3:15" x14ac:dyDescent="0.3">
      <c r="C140" s="3" t="s">
        <v>138</v>
      </c>
      <c r="D140">
        <v>14</v>
      </c>
      <c r="I140" s="3" t="s">
        <v>138</v>
      </c>
      <c r="J140" s="1">
        <v>42.071428571428569</v>
      </c>
      <c r="N140" s="3" t="s">
        <v>143</v>
      </c>
      <c r="O140" s="1">
        <v>4.333333333333333</v>
      </c>
    </row>
    <row r="141" spans="3:15" x14ac:dyDescent="0.3">
      <c r="C141" s="3" t="s">
        <v>139</v>
      </c>
      <c r="D141">
        <v>12</v>
      </c>
      <c r="I141" s="3" t="s">
        <v>139</v>
      </c>
      <c r="J141" s="1">
        <v>35.833333333333336</v>
      </c>
      <c r="N141" s="3" t="s">
        <v>144</v>
      </c>
      <c r="O141" s="1">
        <v>3.7777777777777777</v>
      </c>
    </row>
    <row r="142" spans="3:15" x14ac:dyDescent="0.3">
      <c r="C142" s="3" t="s">
        <v>140</v>
      </c>
      <c r="D142">
        <v>11</v>
      </c>
      <c r="I142" s="3" t="s">
        <v>140</v>
      </c>
      <c r="J142" s="1">
        <v>28.727272727272727</v>
      </c>
      <c r="N142" s="3" t="s">
        <v>145</v>
      </c>
      <c r="O142" s="1">
        <v>3.6666666666666665</v>
      </c>
    </row>
    <row r="143" spans="3:15" x14ac:dyDescent="0.3">
      <c r="C143" s="3" t="s">
        <v>141</v>
      </c>
      <c r="D143">
        <v>16</v>
      </c>
      <c r="I143" s="3" t="s">
        <v>141</v>
      </c>
      <c r="J143" s="1">
        <v>35.75</v>
      </c>
      <c r="N143" s="3" t="s">
        <v>146</v>
      </c>
      <c r="O143" s="1">
        <v>4</v>
      </c>
    </row>
    <row r="144" spans="3:15" x14ac:dyDescent="0.3">
      <c r="C144" s="3" t="s">
        <v>142</v>
      </c>
      <c r="D144">
        <v>20</v>
      </c>
      <c r="I144" s="3" t="s">
        <v>142</v>
      </c>
      <c r="J144" s="1">
        <v>34.75</v>
      </c>
      <c r="N144" s="3" t="s">
        <v>147</v>
      </c>
      <c r="O144" s="1">
        <v>5.833333333333333</v>
      </c>
    </row>
    <row r="145" spans="3:15" x14ac:dyDescent="0.3">
      <c r="C145" s="3" t="s">
        <v>143</v>
      </c>
      <c r="D145">
        <v>15</v>
      </c>
      <c r="I145" s="3" t="s">
        <v>143</v>
      </c>
      <c r="J145" s="1">
        <v>37.666666666666664</v>
      </c>
      <c r="N145" s="3" t="s">
        <v>148</v>
      </c>
      <c r="O145" s="1">
        <v>5.666666666666667</v>
      </c>
    </row>
    <row r="146" spans="3:15" x14ac:dyDescent="0.3">
      <c r="C146" s="3" t="s">
        <v>144</v>
      </c>
      <c r="D146">
        <v>19</v>
      </c>
      <c r="I146" s="3" t="s">
        <v>144</v>
      </c>
      <c r="J146" s="1">
        <v>40.421052631578945</v>
      </c>
      <c r="N146" s="3" t="s">
        <v>149</v>
      </c>
      <c r="O146" s="1">
        <v>5.5</v>
      </c>
    </row>
    <row r="147" spans="3:15" x14ac:dyDescent="0.3">
      <c r="C147" s="3" t="s">
        <v>145</v>
      </c>
      <c r="D147">
        <v>16</v>
      </c>
      <c r="I147" s="3" t="s">
        <v>145</v>
      </c>
      <c r="J147" s="1">
        <v>33.75</v>
      </c>
      <c r="N147" s="3" t="s">
        <v>150</v>
      </c>
      <c r="O147" s="1">
        <v>5.5</v>
      </c>
    </row>
    <row r="148" spans="3:15" x14ac:dyDescent="0.3">
      <c r="C148" s="3" t="s">
        <v>146</v>
      </c>
      <c r="D148">
        <v>17</v>
      </c>
      <c r="I148" s="3" t="s">
        <v>146</v>
      </c>
      <c r="J148" s="1">
        <v>32.764705882352942</v>
      </c>
      <c r="N148" s="3" t="s">
        <v>151</v>
      </c>
      <c r="O148" s="1">
        <v>7</v>
      </c>
    </row>
    <row r="149" spans="3:15" x14ac:dyDescent="0.3">
      <c r="C149" s="3" t="s">
        <v>147</v>
      </c>
      <c r="D149">
        <v>28</v>
      </c>
      <c r="I149" s="3" t="s">
        <v>147</v>
      </c>
      <c r="J149" s="1">
        <v>37.357142857142854</v>
      </c>
      <c r="N149" s="3" t="s">
        <v>152</v>
      </c>
      <c r="O149" s="1">
        <v>7</v>
      </c>
    </row>
    <row r="150" spans="3:15" x14ac:dyDescent="0.3">
      <c r="C150" s="3" t="s">
        <v>148</v>
      </c>
      <c r="D150">
        <v>22</v>
      </c>
      <c r="I150" s="3" t="s">
        <v>148</v>
      </c>
      <c r="J150" s="1">
        <v>37.227272727272727</v>
      </c>
      <c r="N150" s="3" t="s">
        <v>153</v>
      </c>
      <c r="O150" s="1">
        <v>4</v>
      </c>
    </row>
    <row r="151" spans="3:15" x14ac:dyDescent="0.3">
      <c r="C151" s="3" t="s">
        <v>149</v>
      </c>
      <c r="D151">
        <v>20</v>
      </c>
      <c r="I151" s="3" t="s">
        <v>149</v>
      </c>
      <c r="J151" s="1">
        <v>36.700000000000003</v>
      </c>
      <c r="N151" s="3" t="s">
        <v>154</v>
      </c>
      <c r="O151" s="1">
        <v>4.4444444444444446</v>
      </c>
    </row>
    <row r="152" spans="3:15" x14ac:dyDescent="0.3">
      <c r="C152" s="3" t="s">
        <v>150</v>
      </c>
      <c r="D152">
        <v>17</v>
      </c>
      <c r="I152" s="3" t="s">
        <v>150</v>
      </c>
      <c r="J152" s="1">
        <v>43.058823529411768</v>
      </c>
      <c r="N152" s="3" t="s">
        <v>155</v>
      </c>
      <c r="O152" s="1">
        <v>4.8571428571428568</v>
      </c>
    </row>
    <row r="153" spans="3:15" x14ac:dyDescent="0.3">
      <c r="C153" s="3" t="s">
        <v>151</v>
      </c>
      <c r="D153">
        <v>18</v>
      </c>
      <c r="I153" s="3" t="s">
        <v>151</v>
      </c>
      <c r="J153" s="1">
        <v>39.777777777777779</v>
      </c>
      <c r="N153" s="3" t="s">
        <v>156</v>
      </c>
      <c r="O153" s="1">
        <v>5.5714285714285712</v>
      </c>
    </row>
    <row r="154" spans="3:15" x14ac:dyDescent="0.3">
      <c r="C154" s="3" t="s">
        <v>152</v>
      </c>
      <c r="D154">
        <v>13</v>
      </c>
      <c r="I154" s="3" t="s">
        <v>152</v>
      </c>
      <c r="J154" s="1">
        <v>40.692307692307693</v>
      </c>
      <c r="N154" s="3" t="s">
        <v>157</v>
      </c>
      <c r="O154" s="1">
        <v>6</v>
      </c>
    </row>
    <row r="155" spans="3:15" x14ac:dyDescent="0.3">
      <c r="C155" s="3" t="s">
        <v>153</v>
      </c>
      <c r="D155">
        <v>13</v>
      </c>
      <c r="I155" s="3" t="s">
        <v>153</v>
      </c>
      <c r="J155" s="1">
        <v>34.46153846153846</v>
      </c>
      <c r="N155" s="3" t="s">
        <v>158</v>
      </c>
      <c r="O155" s="1">
        <v>4.75</v>
      </c>
    </row>
    <row r="156" spans="3:15" x14ac:dyDescent="0.3">
      <c r="C156" s="3" t="s">
        <v>154</v>
      </c>
      <c r="D156">
        <v>13</v>
      </c>
      <c r="I156" s="3" t="s">
        <v>154</v>
      </c>
      <c r="J156" s="1">
        <v>30.307692307692307</v>
      </c>
      <c r="N156" s="3" t="s">
        <v>159</v>
      </c>
      <c r="O156" s="1">
        <v>5.2</v>
      </c>
    </row>
    <row r="157" spans="3:15" x14ac:dyDescent="0.3">
      <c r="C157" s="3" t="s">
        <v>155</v>
      </c>
      <c r="D157">
        <v>20</v>
      </c>
      <c r="I157" s="3" t="s">
        <v>155</v>
      </c>
      <c r="J157" s="1">
        <v>38.5</v>
      </c>
      <c r="N157" s="3" t="s">
        <v>160</v>
      </c>
      <c r="O157" s="1">
        <v>3.375</v>
      </c>
    </row>
    <row r="158" spans="3:15" x14ac:dyDescent="0.3">
      <c r="C158" s="3" t="s">
        <v>156</v>
      </c>
      <c r="D158">
        <v>15</v>
      </c>
      <c r="I158" s="3" t="s">
        <v>156</v>
      </c>
      <c r="J158" s="1">
        <v>35.333333333333336</v>
      </c>
      <c r="N158" s="3" t="s">
        <v>161</v>
      </c>
      <c r="O158" s="1">
        <v>5.8</v>
      </c>
    </row>
    <row r="159" spans="3:15" x14ac:dyDescent="0.3">
      <c r="C159" s="3" t="s">
        <v>157</v>
      </c>
      <c r="D159">
        <v>19</v>
      </c>
      <c r="I159" s="3" t="s">
        <v>157</v>
      </c>
      <c r="J159" s="1">
        <v>32.421052631578945</v>
      </c>
      <c r="N159" s="3" t="s">
        <v>162</v>
      </c>
      <c r="O159" s="1">
        <v>4.375</v>
      </c>
    </row>
    <row r="160" spans="3:15" x14ac:dyDescent="0.3">
      <c r="C160" s="3" t="s">
        <v>158</v>
      </c>
      <c r="D160">
        <v>17</v>
      </c>
      <c r="I160" s="3" t="s">
        <v>158</v>
      </c>
      <c r="J160" s="1">
        <v>33.352941176470587</v>
      </c>
      <c r="N160" s="3" t="s">
        <v>163</v>
      </c>
      <c r="O160" s="1">
        <v>3</v>
      </c>
    </row>
    <row r="161" spans="3:15" x14ac:dyDescent="0.3">
      <c r="C161" s="3" t="s">
        <v>159</v>
      </c>
      <c r="D161">
        <v>10</v>
      </c>
      <c r="I161" s="3" t="s">
        <v>159</v>
      </c>
      <c r="J161" s="1">
        <v>38.4</v>
      </c>
      <c r="N161" s="3" t="s">
        <v>164</v>
      </c>
      <c r="O161" s="1">
        <v>5</v>
      </c>
    </row>
    <row r="162" spans="3:15" x14ac:dyDescent="0.3">
      <c r="C162" s="3" t="s">
        <v>160</v>
      </c>
      <c r="D162">
        <v>23</v>
      </c>
      <c r="I162" s="3" t="s">
        <v>160</v>
      </c>
      <c r="J162" s="1">
        <v>38.521739130434781</v>
      </c>
      <c r="N162" s="3" t="s">
        <v>165</v>
      </c>
      <c r="O162" s="1">
        <v>3</v>
      </c>
    </row>
    <row r="163" spans="3:15" x14ac:dyDescent="0.3">
      <c r="C163" s="3" t="s">
        <v>161</v>
      </c>
      <c r="D163">
        <v>15</v>
      </c>
      <c r="I163" s="3" t="s">
        <v>161</v>
      </c>
      <c r="J163" s="1">
        <v>30.4</v>
      </c>
      <c r="N163" s="3" t="s">
        <v>166</v>
      </c>
      <c r="O163" s="1">
        <v>4.9090909090909092</v>
      </c>
    </row>
    <row r="164" spans="3:15" x14ac:dyDescent="0.3">
      <c r="C164" s="3" t="s">
        <v>162</v>
      </c>
      <c r="D164">
        <v>14</v>
      </c>
      <c r="I164" s="3" t="s">
        <v>162</v>
      </c>
      <c r="J164" s="1">
        <v>33.142857142857146</v>
      </c>
      <c r="N164" s="3" t="s">
        <v>167</v>
      </c>
      <c r="O164" s="1">
        <v>3.8333333333333335</v>
      </c>
    </row>
    <row r="165" spans="3:15" x14ac:dyDescent="0.3">
      <c r="C165" s="3" t="s">
        <v>163</v>
      </c>
      <c r="D165">
        <v>11</v>
      </c>
      <c r="I165" s="3" t="s">
        <v>163</v>
      </c>
      <c r="J165" s="1">
        <v>38.18181818181818</v>
      </c>
      <c r="N165" s="3" t="s">
        <v>168</v>
      </c>
      <c r="O165" s="1">
        <v>3.875</v>
      </c>
    </row>
    <row r="166" spans="3:15" x14ac:dyDescent="0.3">
      <c r="C166" s="3" t="s">
        <v>164</v>
      </c>
      <c r="D166">
        <v>15</v>
      </c>
      <c r="I166" s="3" t="s">
        <v>164</v>
      </c>
      <c r="J166" s="1">
        <v>39.733333333333334</v>
      </c>
      <c r="N166" s="3" t="s">
        <v>169</v>
      </c>
      <c r="O166" s="1">
        <v>4.333333333333333</v>
      </c>
    </row>
    <row r="167" spans="3:15" x14ac:dyDescent="0.3">
      <c r="C167" s="3" t="s">
        <v>165</v>
      </c>
      <c r="D167">
        <v>20</v>
      </c>
      <c r="I167" s="3" t="s">
        <v>165</v>
      </c>
      <c r="J167" s="1">
        <v>37</v>
      </c>
      <c r="N167" s="3" t="s">
        <v>170</v>
      </c>
      <c r="O167" s="1">
        <v>3.5</v>
      </c>
    </row>
    <row r="168" spans="3:15" x14ac:dyDescent="0.3">
      <c r="C168" s="3" t="s">
        <v>166</v>
      </c>
      <c r="D168">
        <v>21</v>
      </c>
      <c r="I168" s="3" t="s">
        <v>166</v>
      </c>
      <c r="J168" s="1">
        <v>35.61904761904762</v>
      </c>
      <c r="N168" s="3" t="s">
        <v>171</v>
      </c>
      <c r="O168" s="1">
        <v>5.4</v>
      </c>
    </row>
    <row r="169" spans="3:15" x14ac:dyDescent="0.3">
      <c r="C169" s="3" t="s">
        <v>167</v>
      </c>
      <c r="D169">
        <v>17</v>
      </c>
      <c r="I169" s="3" t="s">
        <v>167</v>
      </c>
      <c r="J169" s="1">
        <v>34.176470588235297</v>
      </c>
      <c r="N169" s="3" t="s">
        <v>172</v>
      </c>
      <c r="O169" s="1">
        <v>5.375</v>
      </c>
    </row>
    <row r="170" spans="3:15" x14ac:dyDescent="0.3">
      <c r="C170" s="3" t="s">
        <v>168</v>
      </c>
      <c r="D170">
        <v>17</v>
      </c>
      <c r="I170" s="3" t="s">
        <v>168</v>
      </c>
      <c r="J170" s="1">
        <v>37.176470588235297</v>
      </c>
      <c r="N170" s="3" t="s">
        <v>173</v>
      </c>
      <c r="O170" s="1">
        <v>3.3333333333333335</v>
      </c>
    </row>
    <row r="171" spans="3:15" x14ac:dyDescent="0.3">
      <c r="C171" s="3" t="s">
        <v>169</v>
      </c>
      <c r="D171">
        <v>17</v>
      </c>
      <c r="I171" s="3" t="s">
        <v>169</v>
      </c>
      <c r="J171" s="1">
        <v>36.647058823529413</v>
      </c>
      <c r="N171" s="3" t="s">
        <v>174</v>
      </c>
      <c r="O171" s="1">
        <v>6.2</v>
      </c>
    </row>
    <row r="172" spans="3:15" x14ac:dyDescent="0.3">
      <c r="C172" s="3" t="s">
        <v>170</v>
      </c>
      <c r="D172">
        <v>17</v>
      </c>
      <c r="I172" s="3" t="s">
        <v>170</v>
      </c>
      <c r="J172" s="1">
        <v>34.941176470588232</v>
      </c>
      <c r="N172" s="3" t="s">
        <v>175</v>
      </c>
      <c r="O172" s="1">
        <v>1.6666666666666667</v>
      </c>
    </row>
    <row r="173" spans="3:15" x14ac:dyDescent="0.3">
      <c r="C173" s="3" t="s">
        <v>171</v>
      </c>
      <c r="D173">
        <v>11</v>
      </c>
      <c r="I173" s="3" t="s">
        <v>171</v>
      </c>
      <c r="J173" s="1">
        <v>44</v>
      </c>
      <c r="N173" s="3" t="s">
        <v>176</v>
      </c>
      <c r="O173" s="1">
        <v>4.5</v>
      </c>
    </row>
    <row r="174" spans="3:15" x14ac:dyDescent="0.3">
      <c r="C174" s="3" t="s">
        <v>172</v>
      </c>
      <c r="D174">
        <v>23</v>
      </c>
      <c r="I174" s="3" t="s">
        <v>172</v>
      </c>
      <c r="J174" s="1">
        <v>38.913043478260867</v>
      </c>
      <c r="N174" s="3" t="s">
        <v>177</v>
      </c>
      <c r="O174" s="1">
        <v>7.666666666666667</v>
      </c>
    </row>
    <row r="175" spans="3:15" x14ac:dyDescent="0.3">
      <c r="C175" s="3" t="s">
        <v>173</v>
      </c>
      <c r="D175">
        <v>14</v>
      </c>
      <c r="I175" s="3" t="s">
        <v>173</v>
      </c>
      <c r="J175" s="1">
        <v>31</v>
      </c>
      <c r="N175" s="3" t="s">
        <v>178</v>
      </c>
      <c r="O175" s="1">
        <v>4.4000000000000004</v>
      </c>
    </row>
    <row r="176" spans="3:15" x14ac:dyDescent="0.3">
      <c r="C176" s="3" t="s">
        <v>174</v>
      </c>
      <c r="D176">
        <v>22</v>
      </c>
      <c r="I176" s="3" t="s">
        <v>174</v>
      </c>
      <c r="J176" s="1">
        <v>34.227272727272727</v>
      </c>
      <c r="N176" s="3" t="s">
        <v>179</v>
      </c>
      <c r="O176" s="1">
        <v>6.5</v>
      </c>
    </row>
    <row r="177" spans="3:15" x14ac:dyDescent="0.3">
      <c r="C177" s="3" t="s">
        <v>175</v>
      </c>
      <c r="D177">
        <v>16</v>
      </c>
      <c r="I177" s="3" t="s">
        <v>175</v>
      </c>
      <c r="J177" s="1">
        <v>31</v>
      </c>
      <c r="N177" s="3" t="s">
        <v>180</v>
      </c>
      <c r="O177" s="1">
        <v>5</v>
      </c>
    </row>
    <row r="178" spans="3:15" x14ac:dyDescent="0.3">
      <c r="C178" s="3" t="s">
        <v>176</v>
      </c>
      <c r="D178">
        <v>13</v>
      </c>
      <c r="I178" s="3" t="s">
        <v>176</v>
      </c>
      <c r="J178" s="1">
        <v>32.153846153846153</v>
      </c>
      <c r="N178" s="3" t="s">
        <v>181</v>
      </c>
      <c r="O178" s="1">
        <v>5.25</v>
      </c>
    </row>
    <row r="179" spans="3:15" x14ac:dyDescent="0.3">
      <c r="C179" s="3" t="s">
        <v>177</v>
      </c>
      <c r="D179">
        <v>14</v>
      </c>
      <c r="I179" s="3" t="s">
        <v>177</v>
      </c>
      <c r="J179" s="1">
        <v>32.785714285714285</v>
      </c>
      <c r="N179" s="3" t="s">
        <v>182</v>
      </c>
      <c r="O179" s="1">
        <v>4.75</v>
      </c>
    </row>
    <row r="180" spans="3:15" x14ac:dyDescent="0.3">
      <c r="C180" s="3" t="s">
        <v>178</v>
      </c>
      <c r="D180">
        <v>12</v>
      </c>
      <c r="I180" s="3" t="s">
        <v>178</v>
      </c>
      <c r="J180" s="1">
        <v>30</v>
      </c>
      <c r="N180" s="3" t="s">
        <v>183</v>
      </c>
      <c r="O180" s="1">
        <v>5</v>
      </c>
    </row>
    <row r="181" spans="3:15" x14ac:dyDescent="0.3">
      <c r="C181" s="3" t="s">
        <v>179</v>
      </c>
      <c r="D181">
        <v>12</v>
      </c>
      <c r="I181" s="3" t="s">
        <v>179</v>
      </c>
      <c r="J181" s="1">
        <v>33.5</v>
      </c>
      <c r="N181" s="3" t="s">
        <v>184</v>
      </c>
      <c r="O181" s="1">
        <v>4</v>
      </c>
    </row>
    <row r="182" spans="3:15" x14ac:dyDescent="0.3">
      <c r="C182" s="3" t="s">
        <v>180</v>
      </c>
      <c r="D182">
        <v>20</v>
      </c>
      <c r="I182" s="3" t="s">
        <v>180</v>
      </c>
      <c r="J182" s="1">
        <v>32.950000000000003</v>
      </c>
      <c r="N182" s="3" t="s">
        <v>185</v>
      </c>
      <c r="O182" s="1">
        <v>5.333333333333333</v>
      </c>
    </row>
    <row r="183" spans="3:15" x14ac:dyDescent="0.3">
      <c r="C183" s="3" t="s">
        <v>181</v>
      </c>
      <c r="D183">
        <v>19</v>
      </c>
      <c r="I183" s="3" t="s">
        <v>181</v>
      </c>
      <c r="J183" s="1">
        <v>35.842105263157897</v>
      </c>
      <c r="N183" s="3" t="s">
        <v>186</v>
      </c>
      <c r="O183" s="1">
        <v>6</v>
      </c>
    </row>
    <row r="184" spans="3:15" x14ac:dyDescent="0.3">
      <c r="C184" s="3" t="s">
        <v>182</v>
      </c>
      <c r="D184">
        <v>13</v>
      </c>
      <c r="I184" s="3" t="s">
        <v>182</v>
      </c>
      <c r="J184" s="1">
        <v>33.846153846153847</v>
      </c>
      <c r="N184" s="3" t="s">
        <v>187</v>
      </c>
      <c r="O184" s="1">
        <v>6.333333333333333</v>
      </c>
    </row>
    <row r="185" spans="3:15" x14ac:dyDescent="0.3">
      <c r="C185" s="3" t="s">
        <v>183</v>
      </c>
      <c r="D185">
        <v>15</v>
      </c>
      <c r="I185" s="3" t="s">
        <v>183</v>
      </c>
      <c r="J185" s="1">
        <v>39.06666666666667</v>
      </c>
      <c r="N185" s="3" t="s">
        <v>188</v>
      </c>
      <c r="O185" s="1">
        <v>4.125</v>
      </c>
    </row>
    <row r="186" spans="3:15" x14ac:dyDescent="0.3">
      <c r="C186" s="3" t="s">
        <v>184</v>
      </c>
      <c r="D186">
        <v>19</v>
      </c>
      <c r="I186" s="3" t="s">
        <v>184</v>
      </c>
      <c r="J186" s="1">
        <v>36.684210526315788</v>
      </c>
      <c r="N186" s="3" t="s">
        <v>189</v>
      </c>
      <c r="O186" s="1">
        <v>5.333333333333333</v>
      </c>
    </row>
    <row r="187" spans="3:15" x14ac:dyDescent="0.3">
      <c r="C187" s="3" t="s">
        <v>185</v>
      </c>
      <c r="D187">
        <v>17</v>
      </c>
      <c r="I187" s="3" t="s">
        <v>185</v>
      </c>
      <c r="J187" s="1">
        <v>33.764705882352942</v>
      </c>
      <c r="N187" s="3" t="s">
        <v>190</v>
      </c>
      <c r="O187" s="1">
        <v>4.75</v>
      </c>
    </row>
    <row r="188" spans="3:15" x14ac:dyDescent="0.3">
      <c r="C188" s="3" t="s">
        <v>186</v>
      </c>
      <c r="D188">
        <v>15</v>
      </c>
      <c r="I188" s="3" t="s">
        <v>186</v>
      </c>
      <c r="J188" s="1">
        <v>34.533333333333331</v>
      </c>
      <c r="N188" s="3" t="s">
        <v>191</v>
      </c>
      <c r="O188" s="1">
        <v>2</v>
      </c>
    </row>
    <row r="189" spans="3:15" x14ac:dyDescent="0.3">
      <c r="C189" s="3" t="s">
        <v>187</v>
      </c>
      <c r="D189">
        <v>16</v>
      </c>
      <c r="I189" s="3" t="s">
        <v>187</v>
      </c>
      <c r="J189" s="1">
        <v>42.125</v>
      </c>
      <c r="N189" s="3" t="s">
        <v>192</v>
      </c>
      <c r="O189" s="1">
        <v>8</v>
      </c>
    </row>
    <row r="190" spans="3:15" x14ac:dyDescent="0.3">
      <c r="C190" s="3" t="s">
        <v>188</v>
      </c>
      <c r="D190">
        <v>17</v>
      </c>
      <c r="I190" s="3" t="s">
        <v>188</v>
      </c>
      <c r="J190" s="1">
        <v>36.941176470588232</v>
      </c>
      <c r="N190" s="3" t="s">
        <v>193</v>
      </c>
      <c r="O190" s="1">
        <v>3.5</v>
      </c>
    </row>
    <row r="191" spans="3:15" x14ac:dyDescent="0.3">
      <c r="C191" s="3" t="s">
        <v>189</v>
      </c>
      <c r="D191">
        <v>19</v>
      </c>
      <c r="I191" s="3" t="s">
        <v>189</v>
      </c>
      <c r="J191" s="1">
        <v>30.842105263157894</v>
      </c>
      <c r="N191" s="3" t="s">
        <v>194</v>
      </c>
      <c r="O191" s="1">
        <v>7</v>
      </c>
    </row>
    <row r="192" spans="3:15" x14ac:dyDescent="0.3">
      <c r="C192" s="3" t="s">
        <v>190</v>
      </c>
      <c r="D192">
        <v>12</v>
      </c>
      <c r="I192" s="3" t="s">
        <v>190</v>
      </c>
      <c r="J192" s="1">
        <v>31.833333333333332</v>
      </c>
      <c r="N192" s="3" t="s">
        <v>195</v>
      </c>
      <c r="O192" s="1">
        <v>3.5</v>
      </c>
    </row>
    <row r="193" spans="3:15" x14ac:dyDescent="0.3">
      <c r="C193" s="3" t="s">
        <v>191</v>
      </c>
      <c r="D193">
        <v>9</v>
      </c>
      <c r="I193" s="3" t="s">
        <v>191</v>
      </c>
      <c r="J193" s="1">
        <v>33.777777777777779</v>
      </c>
      <c r="N193" s="3" t="s">
        <v>196</v>
      </c>
      <c r="O193" s="1">
        <v>6.4</v>
      </c>
    </row>
    <row r="194" spans="3:15" x14ac:dyDescent="0.3">
      <c r="C194" s="3" t="s">
        <v>192</v>
      </c>
      <c r="D194">
        <v>15</v>
      </c>
      <c r="I194" s="3" t="s">
        <v>192</v>
      </c>
      <c r="J194" s="1">
        <v>30.466666666666665</v>
      </c>
      <c r="N194" s="3" t="s">
        <v>197</v>
      </c>
      <c r="O194" s="1">
        <v>3.5</v>
      </c>
    </row>
    <row r="195" spans="3:15" x14ac:dyDescent="0.3">
      <c r="C195" s="3" t="s">
        <v>193</v>
      </c>
      <c r="D195">
        <v>10</v>
      </c>
      <c r="I195" s="3" t="s">
        <v>193</v>
      </c>
      <c r="J195" s="1">
        <v>38.799999999999997</v>
      </c>
      <c r="N195" s="3" t="s">
        <v>198</v>
      </c>
      <c r="O195" s="1">
        <v>6.5</v>
      </c>
    </row>
    <row r="196" spans="3:15" x14ac:dyDescent="0.3">
      <c r="C196" s="3" t="s">
        <v>194</v>
      </c>
      <c r="D196">
        <v>18</v>
      </c>
      <c r="I196" s="3" t="s">
        <v>194</v>
      </c>
      <c r="J196" s="1">
        <v>30.277777777777779</v>
      </c>
      <c r="N196" s="3" t="s">
        <v>199</v>
      </c>
      <c r="O196" s="1">
        <v>5.2857142857142856</v>
      </c>
    </row>
    <row r="197" spans="3:15" x14ac:dyDescent="0.3">
      <c r="C197" s="3" t="s">
        <v>195</v>
      </c>
      <c r="D197">
        <v>19</v>
      </c>
      <c r="I197" s="3" t="s">
        <v>195</v>
      </c>
      <c r="J197" s="1">
        <v>35.157894736842103</v>
      </c>
      <c r="N197" s="3" t="s">
        <v>200</v>
      </c>
      <c r="O197" s="1">
        <v>4.333333333333333</v>
      </c>
    </row>
    <row r="198" spans="3:15" x14ac:dyDescent="0.3">
      <c r="C198" s="3" t="s">
        <v>196</v>
      </c>
      <c r="D198">
        <v>19</v>
      </c>
      <c r="I198" s="3" t="s">
        <v>196</v>
      </c>
      <c r="J198" s="1">
        <v>37.94736842105263</v>
      </c>
      <c r="N198" s="3" t="s">
        <v>201</v>
      </c>
      <c r="O198" s="1">
        <v>3</v>
      </c>
    </row>
    <row r="199" spans="3:15" x14ac:dyDescent="0.3">
      <c r="C199" s="3" t="s">
        <v>197</v>
      </c>
      <c r="D199">
        <v>13</v>
      </c>
      <c r="I199" s="3" t="s">
        <v>197</v>
      </c>
      <c r="J199" s="1">
        <v>33.92307692307692</v>
      </c>
      <c r="N199" s="3" t="s">
        <v>202</v>
      </c>
      <c r="O199" s="1">
        <v>4.333333333333333</v>
      </c>
    </row>
    <row r="200" spans="3:15" x14ac:dyDescent="0.3">
      <c r="C200" s="3" t="s">
        <v>198</v>
      </c>
      <c r="D200">
        <v>15</v>
      </c>
      <c r="I200" s="3" t="s">
        <v>198</v>
      </c>
      <c r="J200" s="1">
        <v>33.200000000000003</v>
      </c>
      <c r="N200" s="3" t="s">
        <v>203</v>
      </c>
      <c r="O200" s="1">
        <v>3.3333333333333335</v>
      </c>
    </row>
    <row r="201" spans="3:15" x14ac:dyDescent="0.3">
      <c r="C201" s="3" t="s">
        <v>199</v>
      </c>
      <c r="D201">
        <v>25</v>
      </c>
      <c r="I201" s="3" t="s">
        <v>199</v>
      </c>
      <c r="J201" s="1">
        <v>40.159999999999997</v>
      </c>
      <c r="N201" s="3" t="s">
        <v>204</v>
      </c>
      <c r="O201" s="1">
        <v>2.5714285714285716</v>
      </c>
    </row>
    <row r="202" spans="3:15" x14ac:dyDescent="0.3">
      <c r="C202" s="3" t="s">
        <v>200</v>
      </c>
      <c r="D202">
        <v>19</v>
      </c>
      <c r="I202" s="3" t="s">
        <v>200</v>
      </c>
      <c r="J202" s="1">
        <v>41.578947368421055</v>
      </c>
      <c r="N202" s="3" t="s">
        <v>205</v>
      </c>
      <c r="O202" s="1">
        <v>3.75</v>
      </c>
    </row>
    <row r="203" spans="3:15" x14ac:dyDescent="0.3">
      <c r="C203" s="3" t="s">
        <v>201</v>
      </c>
      <c r="D203">
        <v>15</v>
      </c>
      <c r="I203" s="3" t="s">
        <v>201</v>
      </c>
      <c r="J203" s="1">
        <v>36.866666666666667</v>
      </c>
      <c r="N203" s="3" t="s">
        <v>206</v>
      </c>
      <c r="O203" s="1">
        <v>8.3333333333333339</v>
      </c>
    </row>
    <row r="204" spans="3:15" x14ac:dyDescent="0.3">
      <c r="C204" s="3" t="s">
        <v>202</v>
      </c>
      <c r="D204">
        <v>14</v>
      </c>
      <c r="I204" s="3" t="s">
        <v>202</v>
      </c>
      <c r="J204" s="1">
        <v>33.714285714285715</v>
      </c>
      <c r="N204" s="3" t="s">
        <v>207</v>
      </c>
      <c r="O204" s="1">
        <v>3.75</v>
      </c>
    </row>
    <row r="205" spans="3:15" x14ac:dyDescent="0.3">
      <c r="C205" s="3" t="s">
        <v>203</v>
      </c>
      <c r="D205">
        <v>20</v>
      </c>
      <c r="I205" s="3" t="s">
        <v>203</v>
      </c>
      <c r="J205" s="1">
        <v>33.700000000000003</v>
      </c>
      <c r="N205" s="3" t="s">
        <v>208</v>
      </c>
      <c r="O205" s="1">
        <v>4.666666666666667</v>
      </c>
    </row>
    <row r="206" spans="3:15" x14ac:dyDescent="0.3">
      <c r="C206" s="3" t="s">
        <v>204</v>
      </c>
      <c r="D206">
        <v>14</v>
      </c>
      <c r="I206" s="3" t="s">
        <v>204</v>
      </c>
      <c r="J206" s="1">
        <v>34.642857142857146</v>
      </c>
      <c r="N206" s="3" t="s">
        <v>209</v>
      </c>
      <c r="O206" s="1">
        <v>5</v>
      </c>
    </row>
    <row r="207" spans="3:15" x14ac:dyDescent="0.3">
      <c r="C207" s="3" t="s">
        <v>205</v>
      </c>
      <c r="D207">
        <v>14</v>
      </c>
      <c r="I207" s="3" t="s">
        <v>205</v>
      </c>
      <c r="J207" s="1">
        <v>36.5</v>
      </c>
      <c r="N207" s="3" t="s">
        <v>210</v>
      </c>
      <c r="O207" s="1">
        <v>4.333333333333333</v>
      </c>
    </row>
    <row r="208" spans="3:15" x14ac:dyDescent="0.3">
      <c r="C208" s="3" t="s">
        <v>206</v>
      </c>
      <c r="D208">
        <v>17</v>
      </c>
      <c r="I208" s="3" t="s">
        <v>206</v>
      </c>
      <c r="J208" s="1">
        <v>33.058823529411768</v>
      </c>
      <c r="N208" s="3" t="s">
        <v>211</v>
      </c>
      <c r="O208" s="1">
        <v>4.666666666666667</v>
      </c>
    </row>
    <row r="209" spans="3:15" x14ac:dyDescent="0.3">
      <c r="C209" s="3" t="s">
        <v>207</v>
      </c>
      <c r="D209">
        <v>16</v>
      </c>
      <c r="I209" s="3" t="s">
        <v>207</v>
      </c>
      <c r="J209" s="1">
        <v>33.5625</v>
      </c>
      <c r="N209" s="3" t="s">
        <v>212</v>
      </c>
      <c r="O209" s="1">
        <v>4.5</v>
      </c>
    </row>
    <row r="210" spans="3:15" x14ac:dyDescent="0.3">
      <c r="C210" s="3" t="s">
        <v>208</v>
      </c>
      <c r="D210">
        <v>18</v>
      </c>
      <c r="I210" s="3" t="s">
        <v>208</v>
      </c>
      <c r="J210" s="1">
        <v>31.555555555555557</v>
      </c>
      <c r="N210" s="3" t="s">
        <v>213</v>
      </c>
      <c r="O210" s="1">
        <v>6</v>
      </c>
    </row>
    <row r="211" spans="3:15" x14ac:dyDescent="0.3">
      <c r="C211" s="3" t="s">
        <v>209</v>
      </c>
      <c r="D211">
        <v>8</v>
      </c>
      <c r="I211" s="3" t="s">
        <v>209</v>
      </c>
      <c r="J211" s="1">
        <v>38.375</v>
      </c>
      <c r="N211" s="3" t="s">
        <v>214</v>
      </c>
      <c r="O211" s="1">
        <v>6.8888888888888893</v>
      </c>
    </row>
    <row r="212" spans="3:15" x14ac:dyDescent="0.3">
      <c r="C212" s="3" t="s">
        <v>210</v>
      </c>
      <c r="D212">
        <v>17</v>
      </c>
      <c r="I212" s="3" t="s">
        <v>210</v>
      </c>
      <c r="J212" s="1">
        <v>35.411764705882355</v>
      </c>
      <c r="N212" s="3" t="s">
        <v>215</v>
      </c>
      <c r="O212" s="1">
        <v>6.5714285714285712</v>
      </c>
    </row>
    <row r="213" spans="3:15" x14ac:dyDescent="0.3">
      <c r="C213" s="3" t="s">
        <v>211</v>
      </c>
      <c r="D213">
        <v>11</v>
      </c>
      <c r="I213" s="3" t="s">
        <v>211</v>
      </c>
      <c r="J213" s="1">
        <v>34.909090909090907</v>
      </c>
      <c r="N213" s="3" t="s">
        <v>216</v>
      </c>
      <c r="O213" s="1">
        <v>4.0999999999999996</v>
      </c>
    </row>
    <row r="214" spans="3:15" x14ac:dyDescent="0.3">
      <c r="C214" s="3" t="s">
        <v>212</v>
      </c>
      <c r="D214">
        <v>15</v>
      </c>
      <c r="I214" s="3" t="s">
        <v>212</v>
      </c>
      <c r="J214" s="1">
        <v>35.133333333333333</v>
      </c>
      <c r="N214" s="3" t="s">
        <v>217</v>
      </c>
      <c r="O214" s="1">
        <v>5</v>
      </c>
    </row>
    <row r="215" spans="3:15" x14ac:dyDescent="0.3">
      <c r="C215" s="3" t="s">
        <v>213</v>
      </c>
      <c r="D215">
        <v>13</v>
      </c>
      <c r="I215" s="3" t="s">
        <v>213</v>
      </c>
      <c r="J215" s="1">
        <v>35.07692307692308</v>
      </c>
      <c r="N215" s="3" t="s">
        <v>218</v>
      </c>
      <c r="O215" s="1">
        <v>5.4</v>
      </c>
    </row>
    <row r="216" spans="3:15" x14ac:dyDescent="0.3">
      <c r="C216" s="3" t="s">
        <v>214</v>
      </c>
      <c r="D216">
        <v>17</v>
      </c>
      <c r="I216" s="3" t="s">
        <v>214</v>
      </c>
      <c r="J216" s="1">
        <v>35.352941176470587</v>
      </c>
      <c r="N216" s="3" t="s">
        <v>219</v>
      </c>
      <c r="O216" s="1">
        <v>4.5</v>
      </c>
    </row>
    <row r="217" spans="3:15" x14ac:dyDescent="0.3">
      <c r="C217" s="3" t="s">
        <v>215</v>
      </c>
      <c r="D217">
        <v>20</v>
      </c>
      <c r="I217" s="3" t="s">
        <v>215</v>
      </c>
      <c r="J217" s="1">
        <v>36.6</v>
      </c>
      <c r="N217" s="3" t="s">
        <v>220</v>
      </c>
      <c r="O217" s="1">
        <v>4.666666666666667</v>
      </c>
    </row>
    <row r="218" spans="3:15" x14ac:dyDescent="0.3">
      <c r="C218" s="3" t="s">
        <v>216</v>
      </c>
      <c r="D218">
        <v>20</v>
      </c>
      <c r="I218" s="3" t="s">
        <v>216</v>
      </c>
      <c r="J218" s="1">
        <v>35.799999999999997</v>
      </c>
      <c r="N218" s="3" t="s">
        <v>221</v>
      </c>
      <c r="O218" s="1">
        <v>7.4</v>
      </c>
    </row>
    <row r="219" spans="3:15" x14ac:dyDescent="0.3">
      <c r="C219" s="3" t="s">
        <v>217</v>
      </c>
      <c r="D219">
        <v>13</v>
      </c>
      <c r="I219" s="3" t="s">
        <v>217</v>
      </c>
      <c r="J219" s="1">
        <v>30.307692307692307</v>
      </c>
      <c r="N219" s="3" t="s">
        <v>222</v>
      </c>
      <c r="O219" s="1">
        <v>4.5</v>
      </c>
    </row>
    <row r="220" spans="3:15" x14ac:dyDescent="0.3">
      <c r="C220" s="3" t="s">
        <v>218</v>
      </c>
      <c r="D220">
        <v>16</v>
      </c>
      <c r="I220" s="3" t="s">
        <v>218</v>
      </c>
      <c r="J220" s="1">
        <v>42.75</v>
      </c>
      <c r="N220" s="3" t="s">
        <v>223</v>
      </c>
      <c r="O220" s="1">
        <v>4.8</v>
      </c>
    </row>
    <row r="221" spans="3:15" x14ac:dyDescent="0.3">
      <c r="C221" s="3" t="s">
        <v>219</v>
      </c>
      <c r="D221">
        <v>28</v>
      </c>
      <c r="I221" s="3" t="s">
        <v>219</v>
      </c>
      <c r="J221" s="1">
        <v>35.285714285714285</v>
      </c>
      <c r="N221" s="3" t="s">
        <v>224</v>
      </c>
      <c r="O221" s="1">
        <v>4.75</v>
      </c>
    </row>
    <row r="222" spans="3:15" x14ac:dyDescent="0.3">
      <c r="C222" s="3" t="s">
        <v>220</v>
      </c>
      <c r="D222">
        <v>19</v>
      </c>
      <c r="I222" s="3" t="s">
        <v>220</v>
      </c>
      <c r="J222" s="1">
        <v>31.842105263157894</v>
      </c>
      <c r="N222" s="3" t="s">
        <v>226</v>
      </c>
      <c r="O222" s="1">
        <v>2.25</v>
      </c>
    </row>
    <row r="223" spans="3:15" x14ac:dyDescent="0.3">
      <c r="C223" s="3" t="s">
        <v>221</v>
      </c>
      <c r="D223">
        <v>14</v>
      </c>
      <c r="I223" s="3" t="s">
        <v>221</v>
      </c>
      <c r="J223" s="1">
        <v>34.714285714285715</v>
      </c>
      <c r="N223" s="3" t="s">
        <v>227</v>
      </c>
      <c r="O223" s="1">
        <v>4</v>
      </c>
    </row>
    <row r="224" spans="3:15" x14ac:dyDescent="0.3">
      <c r="C224" s="3" t="s">
        <v>222</v>
      </c>
      <c r="D224">
        <v>17</v>
      </c>
      <c r="I224" s="3" t="s">
        <v>222</v>
      </c>
      <c r="J224" s="1">
        <v>42.823529411764703</v>
      </c>
      <c r="N224" s="3" t="s">
        <v>228</v>
      </c>
      <c r="O224" s="1">
        <v>6.666666666666667</v>
      </c>
    </row>
    <row r="225" spans="3:15" x14ac:dyDescent="0.3">
      <c r="C225" s="3" t="s">
        <v>223</v>
      </c>
      <c r="D225">
        <v>19</v>
      </c>
      <c r="I225" s="3" t="s">
        <v>223</v>
      </c>
      <c r="J225" s="1">
        <v>32.157894736842103</v>
      </c>
      <c r="N225" s="3" t="s">
        <v>229</v>
      </c>
      <c r="O225" s="1">
        <v>2.6666666666666665</v>
      </c>
    </row>
    <row r="226" spans="3:15" x14ac:dyDescent="0.3">
      <c r="C226" s="3" t="s">
        <v>224</v>
      </c>
      <c r="D226">
        <v>12</v>
      </c>
      <c r="I226" s="3" t="s">
        <v>224</v>
      </c>
      <c r="J226" s="1">
        <v>34.833333333333336</v>
      </c>
      <c r="N226" s="3" t="s">
        <v>230</v>
      </c>
      <c r="O226" s="1">
        <v>3.6666666666666665</v>
      </c>
    </row>
    <row r="227" spans="3:15" x14ac:dyDescent="0.3">
      <c r="C227" s="3" t="s">
        <v>225</v>
      </c>
      <c r="D227">
        <v>10</v>
      </c>
      <c r="I227" s="3" t="s">
        <v>225</v>
      </c>
      <c r="J227" s="1">
        <v>33.4</v>
      </c>
      <c r="N227" s="3" t="s">
        <v>231</v>
      </c>
      <c r="O227" s="1">
        <v>4</v>
      </c>
    </row>
    <row r="228" spans="3:15" x14ac:dyDescent="0.3">
      <c r="C228" s="3" t="s">
        <v>226</v>
      </c>
      <c r="D228">
        <v>20</v>
      </c>
      <c r="I228" s="3" t="s">
        <v>226</v>
      </c>
      <c r="J228" s="1">
        <v>28.15</v>
      </c>
      <c r="N228" s="3" t="s">
        <v>232</v>
      </c>
      <c r="O228" s="1">
        <v>7.5</v>
      </c>
    </row>
    <row r="229" spans="3:15" x14ac:dyDescent="0.3">
      <c r="C229" s="3" t="s">
        <v>227</v>
      </c>
      <c r="D229">
        <v>12</v>
      </c>
      <c r="I229" s="3" t="s">
        <v>227</v>
      </c>
      <c r="J229" s="1">
        <v>31.333333333333332</v>
      </c>
      <c r="N229" s="3" t="s">
        <v>233</v>
      </c>
      <c r="O229" s="1">
        <v>5.5</v>
      </c>
    </row>
    <row r="230" spans="3:15" x14ac:dyDescent="0.3">
      <c r="C230" s="3" t="s">
        <v>228</v>
      </c>
      <c r="D230">
        <v>24</v>
      </c>
      <c r="I230" s="3" t="s">
        <v>228</v>
      </c>
      <c r="J230" s="1">
        <v>37.375</v>
      </c>
      <c r="N230" s="3" t="s">
        <v>234</v>
      </c>
      <c r="O230" s="1">
        <v>7.5</v>
      </c>
    </row>
    <row r="231" spans="3:15" x14ac:dyDescent="0.3">
      <c r="C231" s="3" t="s">
        <v>229</v>
      </c>
      <c r="D231">
        <v>16</v>
      </c>
      <c r="I231" s="3" t="s">
        <v>229</v>
      </c>
      <c r="J231" s="1">
        <v>36.0625</v>
      </c>
      <c r="N231" s="3" t="s">
        <v>235</v>
      </c>
      <c r="O231" s="1">
        <v>5</v>
      </c>
    </row>
    <row r="232" spans="3:15" x14ac:dyDescent="0.3">
      <c r="C232" s="3" t="s">
        <v>230</v>
      </c>
      <c r="D232">
        <v>16</v>
      </c>
      <c r="I232" s="3" t="s">
        <v>230</v>
      </c>
      <c r="J232" s="1">
        <v>40.5</v>
      </c>
      <c r="N232" s="3" t="s">
        <v>236</v>
      </c>
      <c r="O232" s="1">
        <v>3.5</v>
      </c>
    </row>
    <row r="233" spans="3:15" x14ac:dyDescent="0.3">
      <c r="C233" s="3" t="s">
        <v>231</v>
      </c>
      <c r="D233">
        <v>14</v>
      </c>
      <c r="I233" s="3" t="s">
        <v>231</v>
      </c>
      <c r="J233" s="1">
        <v>39.571428571428569</v>
      </c>
      <c r="N233" s="3" t="s">
        <v>237</v>
      </c>
      <c r="O233" s="1">
        <v>6.5</v>
      </c>
    </row>
    <row r="234" spans="3:15" x14ac:dyDescent="0.3">
      <c r="C234" s="3" t="s">
        <v>232</v>
      </c>
      <c r="D234">
        <v>12</v>
      </c>
      <c r="I234" s="3" t="s">
        <v>232</v>
      </c>
      <c r="J234" s="1">
        <v>30.25</v>
      </c>
      <c r="N234" s="3" t="s">
        <v>238</v>
      </c>
      <c r="O234" s="1">
        <v>5.833333333333333</v>
      </c>
    </row>
    <row r="235" spans="3:15" x14ac:dyDescent="0.3">
      <c r="C235" s="3" t="s">
        <v>233</v>
      </c>
      <c r="D235">
        <v>18</v>
      </c>
      <c r="I235" s="3" t="s">
        <v>233</v>
      </c>
      <c r="J235" s="1">
        <v>39.722222222222221</v>
      </c>
      <c r="N235" s="3" t="s">
        <v>239</v>
      </c>
      <c r="O235" s="1">
        <v>4.5</v>
      </c>
    </row>
    <row r="236" spans="3:15" x14ac:dyDescent="0.3">
      <c r="C236" s="3" t="s">
        <v>234</v>
      </c>
      <c r="D236">
        <v>15</v>
      </c>
      <c r="I236" s="3" t="s">
        <v>234</v>
      </c>
      <c r="J236" s="1">
        <v>38.133333333333333</v>
      </c>
      <c r="N236" s="3" t="s">
        <v>240</v>
      </c>
      <c r="O236" s="1">
        <v>3.75</v>
      </c>
    </row>
    <row r="237" spans="3:15" x14ac:dyDescent="0.3">
      <c r="C237" s="3" t="s">
        <v>235</v>
      </c>
      <c r="D237">
        <v>25</v>
      </c>
      <c r="I237" s="3" t="s">
        <v>235</v>
      </c>
      <c r="J237" s="1">
        <v>34.08</v>
      </c>
      <c r="N237" s="3" t="s">
        <v>241</v>
      </c>
      <c r="O237" s="1">
        <v>10</v>
      </c>
    </row>
    <row r="238" spans="3:15" x14ac:dyDescent="0.3">
      <c r="C238" s="3" t="s">
        <v>236</v>
      </c>
      <c r="D238">
        <v>15</v>
      </c>
      <c r="I238" s="3" t="s">
        <v>236</v>
      </c>
      <c r="J238" s="1">
        <v>30.066666666666666</v>
      </c>
      <c r="N238" s="3" t="s">
        <v>242</v>
      </c>
      <c r="O238" s="1">
        <v>4</v>
      </c>
    </row>
    <row r="239" spans="3:15" x14ac:dyDescent="0.3">
      <c r="C239" s="3" t="s">
        <v>237</v>
      </c>
      <c r="D239">
        <v>19</v>
      </c>
      <c r="I239" s="3" t="s">
        <v>237</v>
      </c>
      <c r="J239" s="1">
        <v>33.263157894736842</v>
      </c>
      <c r="N239" s="3" t="s">
        <v>243</v>
      </c>
      <c r="O239" s="1">
        <v>8.3333333333333339</v>
      </c>
    </row>
    <row r="240" spans="3:15" x14ac:dyDescent="0.3">
      <c r="C240" s="3" t="s">
        <v>238</v>
      </c>
      <c r="D240">
        <v>23</v>
      </c>
      <c r="I240" s="3" t="s">
        <v>238</v>
      </c>
      <c r="J240" s="1">
        <v>38.565217391304351</v>
      </c>
      <c r="N240" s="3" t="s">
        <v>244</v>
      </c>
      <c r="O240" s="1">
        <v>3.25</v>
      </c>
    </row>
    <row r="241" spans="3:15" x14ac:dyDescent="0.3">
      <c r="C241" s="3" t="s">
        <v>239</v>
      </c>
      <c r="D241">
        <v>10</v>
      </c>
      <c r="I241" s="3" t="s">
        <v>239</v>
      </c>
      <c r="J241" s="1">
        <v>28.6</v>
      </c>
      <c r="N241" s="3" t="s">
        <v>245</v>
      </c>
      <c r="O241" s="1">
        <v>6</v>
      </c>
    </row>
    <row r="242" spans="3:15" x14ac:dyDescent="0.3">
      <c r="C242" s="3" t="s">
        <v>240</v>
      </c>
      <c r="D242">
        <v>14</v>
      </c>
      <c r="I242" s="3" t="s">
        <v>240</v>
      </c>
      <c r="J242" s="1">
        <v>36.285714285714285</v>
      </c>
      <c r="N242" s="3" t="s">
        <v>246</v>
      </c>
      <c r="O242" s="1">
        <v>6</v>
      </c>
    </row>
    <row r="243" spans="3:15" x14ac:dyDescent="0.3">
      <c r="C243" s="3" t="s">
        <v>241</v>
      </c>
      <c r="D243">
        <v>16</v>
      </c>
      <c r="I243" s="3" t="s">
        <v>241</v>
      </c>
      <c r="J243" s="1">
        <v>40.375</v>
      </c>
      <c r="N243" s="3" t="s">
        <v>247</v>
      </c>
      <c r="O243" s="1">
        <v>3.3333333333333335</v>
      </c>
    </row>
    <row r="244" spans="3:15" x14ac:dyDescent="0.3">
      <c r="C244" s="3" t="s">
        <v>242</v>
      </c>
      <c r="D244">
        <v>18</v>
      </c>
      <c r="I244" s="3" t="s">
        <v>242</v>
      </c>
      <c r="J244" s="1">
        <v>34.666666666666664</v>
      </c>
      <c r="N244" s="3" t="s">
        <v>248</v>
      </c>
      <c r="O244" s="1">
        <v>6.666666666666667</v>
      </c>
    </row>
    <row r="245" spans="3:15" x14ac:dyDescent="0.3">
      <c r="C245" s="3" t="s">
        <v>243</v>
      </c>
      <c r="D245">
        <v>22</v>
      </c>
      <c r="I245" s="3" t="s">
        <v>243</v>
      </c>
      <c r="J245" s="1">
        <v>34.863636363636367</v>
      </c>
      <c r="N245" s="3" t="s">
        <v>249</v>
      </c>
      <c r="O245" s="1">
        <v>5.625</v>
      </c>
    </row>
    <row r="246" spans="3:15" x14ac:dyDescent="0.3">
      <c r="C246" s="3" t="s">
        <v>244</v>
      </c>
      <c r="D246">
        <v>14</v>
      </c>
      <c r="I246" s="3" t="s">
        <v>244</v>
      </c>
      <c r="J246" s="1">
        <v>30.928571428571427</v>
      </c>
      <c r="N246" s="3" t="s">
        <v>250</v>
      </c>
      <c r="O246" s="1">
        <v>4.2857142857142856</v>
      </c>
    </row>
    <row r="247" spans="3:15" x14ac:dyDescent="0.3">
      <c r="C247" s="3" t="s">
        <v>245</v>
      </c>
      <c r="D247">
        <v>15</v>
      </c>
      <c r="I247" s="3" t="s">
        <v>245</v>
      </c>
      <c r="J247" s="1">
        <v>35.6</v>
      </c>
      <c r="N247" s="3" t="s">
        <v>251</v>
      </c>
      <c r="O247" s="1">
        <v>2.6666666666666665</v>
      </c>
    </row>
    <row r="248" spans="3:15" x14ac:dyDescent="0.3">
      <c r="C248" s="3" t="s">
        <v>246</v>
      </c>
      <c r="D248">
        <v>21</v>
      </c>
      <c r="I248" s="3" t="s">
        <v>246</v>
      </c>
      <c r="J248" s="1">
        <v>34.952380952380949</v>
      </c>
      <c r="N248" s="3" t="s">
        <v>252</v>
      </c>
      <c r="O248" s="1">
        <v>3.8571428571428572</v>
      </c>
    </row>
    <row r="249" spans="3:15" x14ac:dyDescent="0.3">
      <c r="C249" s="3" t="s">
        <v>247</v>
      </c>
      <c r="D249">
        <v>17</v>
      </c>
      <c r="I249" s="3" t="s">
        <v>247</v>
      </c>
      <c r="J249" s="1">
        <v>34.411764705882355</v>
      </c>
      <c r="N249" s="3" t="s">
        <v>253</v>
      </c>
      <c r="O249" s="1">
        <v>5.6</v>
      </c>
    </row>
    <row r="250" spans="3:15" x14ac:dyDescent="0.3">
      <c r="C250" s="3" t="s">
        <v>248</v>
      </c>
      <c r="D250">
        <v>16</v>
      </c>
      <c r="I250" s="3" t="s">
        <v>248</v>
      </c>
      <c r="J250" s="1">
        <v>34</v>
      </c>
      <c r="N250" s="3" t="s">
        <v>254</v>
      </c>
      <c r="O250" s="1">
        <v>7</v>
      </c>
    </row>
    <row r="251" spans="3:15" x14ac:dyDescent="0.3">
      <c r="C251" s="3" t="s">
        <v>249</v>
      </c>
      <c r="D251">
        <v>19</v>
      </c>
      <c r="I251" s="3" t="s">
        <v>249</v>
      </c>
      <c r="J251" s="1">
        <v>36.421052631578945</v>
      </c>
      <c r="N251" s="3" t="s">
        <v>255</v>
      </c>
      <c r="O251" s="1">
        <v>4</v>
      </c>
    </row>
    <row r="252" spans="3:15" x14ac:dyDescent="0.3">
      <c r="C252" s="3" t="s">
        <v>250</v>
      </c>
      <c r="D252">
        <v>23</v>
      </c>
      <c r="I252" s="3" t="s">
        <v>250</v>
      </c>
      <c r="J252" s="1">
        <v>39.304347826086953</v>
      </c>
      <c r="N252" s="3" t="s">
        <v>256</v>
      </c>
      <c r="O252" s="1">
        <v>3.2</v>
      </c>
    </row>
    <row r="253" spans="3:15" x14ac:dyDescent="0.3">
      <c r="C253" s="3" t="s">
        <v>251</v>
      </c>
      <c r="D253">
        <v>17</v>
      </c>
      <c r="I253" s="3" t="s">
        <v>251</v>
      </c>
      <c r="J253" s="1">
        <v>36.941176470588232</v>
      </c>
      <c r="N253" s="3" t="s">
        <v>257</v>
      </c>
      <c r="O253" s="1">
        <v>5.5</v>
      </c>
    </row>
    <row r="254" spans="3:15" x14ac:dyDescent="0.3">
      <c r="C254" s="3" t="s">
        <v>252</v>
      </c>
      <c r="D254">
        <v>20</v>
      </c>
      <c r="I254" s="3" t="s">
        <v>252</v>
      </c>
      <c r="J254" s="1">
        <v>35.549999999999997</v>
      </c>
      <c r="N254" s="3" t="s">
        <v>258</v>
      </c>
      <c r="O254" s="1">
        <v>5</v>
      </c>
    </row>
    <row r="255" spans="3:15" x14ac:dyDescent="0.3">
      <c r="C255" s="3" t="s">
        <v>253</v>
      </c>
      <c r="D255">
        <v>16</v>
      </c>
      <c r="I255" s="3" t="s">
        <v>253</v>
      </c>
      <c r="J255" s="1">
        <v>32</v>
      </c>
      <c r="N255" s="3" t="s">
        <v>259</v>
      </c>
      <c r="O255" s="1">
        <v>7</v>
      </c>
    </row>
    <row r="256" spans="3:15" x14ac:dyDescent="0.3">
      <c r="C256" s="3" t="s">
        <v>254</v>
      </c>
      <c r="D256">
        <v>11</v>
      </c>
      <c r="I256" s="3" t="s">
        <v>254</v>
      </c>
      <c r="J256" s="1">
        <v>43.81818181818182</v>
      </c>
      <c r="N256" s="3" t="s">
        <v>260</v>
      </c>
      <c r="O256" s="1">
        <v>6</v>
      </c>
    </row>
    <row r="257" spans="3:15" x14ac:dyDescent="0.3">
      <c r="C257" s="3" t="s">
        <v>255</v>
      </c>
      <c r="D257">
        <v>17</v>
      </c>
      <c r="I257" s="3" t="s">
        <v>255</v>
      </c>
      <c r="J257" s="1">
        <v>37.823529411764703</v>
      </c>
      <c r="N257" s="3" t="s">
        <v>261</v>
      </c>
      <c r="O257" s="1">
        <v>6.5</v>
      </c>
    </row>
    <row r="258" spans="3:15" x14ac:dyDescent="0.3">
      <c r="C258" s="3" t="s">
        <v>256</v>
      </c>
      <c r="D258">
        <v>15</v>
      </c>
      <c r="I258" s="3" t="s">
        <v>256</v>
      </c>
      <c r="J258" s="1">
        <v>37.533333333333331</v>
      </c>
      <c r="N258" s="3" t="s">
        <v>262</v>
      </c>
      <c r="O258" s="1">
        <v>3.5</v>
      </c>
    </row>
    <row r="259" spans="3:15" x14ac:dyDescent="0.3">
      <c r="C259" s="3" t="s">
        <v>257</v>
      </c>
      <c r="D259">
        <v>17</v>
      </c>
      <c r="I259" s="3" t="s">
        <v>257</v>
      </c>
      <c r="J259" s="1">
        <v>31.588235294117649</v>
      </c>
      <c r="N259" s="3" t="s">
        <v>263</v>
      </c>
      <c r="O259" s="1">
        <v>5.4</v>
      </c>
    </row>
    <row r="260" spans="3:15" x14ac:dyDescent="0.3">
      <c r="C260" s="3" t="s">
        <v>258</v>
      </c>
      <c r="D260">
        <v>17</v>
      </c>
      <c r="I260" s="3" t="s">
        <v>258</v>
      </c>
      <c r="J260" s="1">
        <v>32.647058823529413</v>
      </c>
      <c r="N260" s="3" t="s">
        <v>264</v>
      </c>
      <c r="O260" s="1">
        <v>5</v>
      </c>
    </row>
    <row r="261" spans="3:15" x14ac:dyDescent="0.3">
      <c r="C261" s="3" t="s">
        <v>259</v>
      </c>
      <c r="D261">
        <v>13</v>
      </c>
      <c r="I261" s="3" t="s">
        <v>259</v>
      </c>
      <c r="J261" s="1">
        <v>34.846153846153847</v>
      </c>
      <c r="N261" s="3" t="s">
        <v>265</v>
      </c>
      <c r="O261" s="1">
        <v>4.4000000000000004</v>
      </c>
    </row>
    <row r="262" spans="3:15" x14ac:dyDescent="0.3">
      <c r="C262" s="3" t="s">
        <v>260</v>
      </c>
      <c r="D262">
        <v>12</v>
      </c>
      <c r="I262" s="3" t="s">
        <v>260</v>
      </c>
      <c r="J262" s="1">
        <v>36.666666666666664</v>
      </c>
      <c r="N262" s="3" t="s">
        <v>266</v>
      </c>
      <c r="O262" s="1">
        <v>6.75</v>
      </c>
    </row>
    <row r="263" spans="3:15" x14ac:dyDescent="0.3">
      <c r="C263" s="3" t="s">
        <v>261</v>
      </c>
      <c r="D263">
        <v>19</v>
      </c>
      <c r="I263" s="3" t="s">
        <v>261</v>
      </c>
      <c r="J263" s="1">
        <v>31.94736842105263</v>
      </c>
      <c r="N263" s="3" t="s">
        <v>267</v>
      </c>
      <c r="O263" s="1">
        <v>7</v>
      </c>
    </row>
    <row r="264" spans="3:15" x14ac:dyDescent="0.3">
      <c r="C264" s="3" t="s">
        <v>262</v>
      </c>
      <c r="D264">
        <v>12</v>
      </c>
      <c r="I264" s="3" t="s">
        <v>262</v>
      </c>
      <c r="J264" s="1">
        <v>37.416666666666664</v>
      </c>
      <c r="N264" s="3" t="s">
        <v>268</v>
      </c>
      <c r="O264" s="1">
        <v>4.666666666666667</v>
      </c>
    </row>
    <row r="265" spans="3:15" x14ac:dyDescent="0.3">
      <c r="C265" s="3" t="s">
        <v>263</v>
      </c>
      <c r="D265">
        <v>15</v>
      </c>
      <c r="I265" s="3" t="s">
        <v>263</v>
      </c>
      <c r="J265" s="1">
        <v>33.4</v>
      </c>
      <c r="N265" s="3" t="s">
        <v>269</v>
      </c>
      <c r="O265" s="1">
        <v>3</v>
      </c>
    </row>
    <row r="266" spans="3:15" x14ac:dyDescent="0.3">
      <c r="C266" s="3" t="s">
        <v>264</v>
      </c>
      <c r="D266">
        <v>18</v>
      </c>
      <c r="I266" s="3" t="s">
        <v>264</v>
      </c>
      <c r="J266" s="1">
        <v>37.944444444444443</v>
      </c>
      <c r="N266" s="3" t="s">
        <v>270</v>
      </c>
      <c r="O266" s="1">
        <v>3.4285714285714284</v>
      </c>
    </row>
    <row r="267" spans="3:15" x14ac:dyDescent="0.3">
      <c r="C267" s="3" t="s">
        <v>265</v>
      </c>
      <c r="D267">
        <v>13</v>
      </c>
      <c r="I267" s="3" t="s">
        <v>265</v>
      </c>
      <c r="J267" s="1">
        <v>32.769230769230766</v>
      </c>
      <c r="N267" s="3" t="s">
        <v>272</v>
      </c>
      <c r="O267" s="1">
        <v>2.3333333333333335</v>
      </c>
    </row>
    <row r="268" spans="3:15" x14ac:dyDescent="0.3">
      <c r="C268" s="3" t="s">
        <v>266</v>
      </c>
      <c r="D268">
        <v>22</v>
      </c>
      <c r="I268" s="3" t="s">
        <v>266</v>
      </c>
      <c r="J268" s="1">
        <v>31.863636363636363</v>
      </c>
      <c r="N268" s="3" t="s">
        <v>273</v>
      </c>
      <c r="O268" s="1">
        <v>6</v>
      </c>
    </row>
    <row r="269" spans="3:15" x14ac:dyDescent="0.3">
      <c r="C269" s="3" t="s">
        <v>267</v>
      </c>
      <c r="D269">
        <v>16</v>
      </c>
      <c r="I269" s="3" t="s">
        <v>267</v>
      </c>
      <c r="J269" s="1">
        <v>37.8125</v>
      </c>
      <c r="N269" s="3" t="s">
        <v>274</v>
      </c>
      <c r="O269" s="1">
        <v>5.8</v>
      </c>
    </row>
    <row r="270" spans="3:15" x14ac:dyDescent="0.3">
      <c r="C270" s="3" t="s">
        <v>268</v>
      </c>
      <c r="D270">
        <v>13</v>
      </c>
      <c r="I270" s="3" t="s">
        <v>268</v>
      </c>
      <c r="J270" s="1">
        <v>28.46153846153846</v>
      </c>
      <c r="N270" s="3" t="s">
        <v>275</v>
      </c>
      <c r="O270" s="1">
        <v>5</v>
      </c>
    </row>
    <row r="271" spans="3:15" x14ac:dyDescent="0.3">
      <c r="C271" s="3" t="s">
        <v>269</v>
      </c>
      <c r="D271">
        <v>14</v>
      </c>
      <c r="I271" s="3" t="s">
        <v>269</v>
      </c>
      <c r="J271" s="1">
        <v>33.571428571428569</v>
      </c>
      <c r="N271" s="3" t="s">
        <v>276</v>
      </c>
      <c r="O271" s="1">
        <v>2</v>
      </c>
    </row>
    <row r="272" spans="3:15" x14ac:dyDescent="0.3">
      <c r="C272" s="3" t="s">
        <v>270</v>
      </c>
      <c r="D272">
        <v>21</v>
      </c>
      <c r="I272" s="3" t="s">
        <v>270</v>
      </c>
      <c r="J272" s="1">
        <v>35.666666666666664</v>
      </c>
      <c r="N272" s="3" t="s">
        <v>277</v>
      </c>
      <c r="O272" s="1">
        <v>3</v>
      </c>
    </row>
    <row r="273" spans="3:15" x14ac:dyDescent="0.3">
      <c r="C273" s="3" t="s">
        <v>271</v>
      </c>
      <c r="D273">
        <v>9</v>
      </c>
      <c r="I273" s="3" t="s">
        <v>271</v>
      </c>
      <c r="J273" s="1">
        <v>27</v>
      </c>
      <c r="N273" s="3" t="s">
        <v>278</v>
      </c>
      <c r="O273" s="1">
        <v>8.5</v>
      </c>
    </row>
    <row r="274" spans="3:15" x14ac:dyDescent="0.3">
      <c r="C274" s="3" t="s">
        <v>272</v>
      </c>
      <c r="D274">
        <v>10</v>
      </c>
      <c r="I274" s="3" t="s">
        <v>272</v>
      </c>
      <c r="J274" s="1">
        <v>42.4</v>
      </c>
      <c r="N274" s="3" t="s">
        <v>279</v>
      </c>
      <c r="O274" s="1">
        <v>5.5714285714285712</v>
      </c>
    </row>
    <row r="275" spans="3:15" x14ac:dyDescent="0.3">
      <c r="C275" s="3" t="s">
        <v>273</v>
      </c>
      <c r="D275">
        <v>15</v>
      </c>
      <c r="I275" s="3" t="s">
        <v>273</v>
      </c>
      <c r="J275" s="1">
        <v>37.333333333333336</v>
      </c>
      <c r="N275" s="3" t="s">
        <v>280</v>
      </c>
      <c r="O275" s="1">
        <v>4.8571428571428568</v>
      </c>
    </row>
    <row r="276" spans="3:15" x14ac:dyDescent="0.3">
      <c r="C276" s="3" t="s">
        <v>274</v>
      </c>
      <c r="D276">
        <v>15</v>
      </c>
      <c r="I276" s="3" t="s">
        <v>274</v>
      </c>
      <c r="J276" s="1">
        <v>34.266666666666666</v>
      </c>
      <c r="N276" s="3" t="s">
        <v>281</v>
      </c>
      <c r="O276" s="1">
        <v>8</v>
      </c>
    </row>
    <row r="277" spans="3:15" x14ac:dyDescent="0.3">
      <c r="C277" s="3" t="s">
        <v>275</v>
      </c>
      <c r="D277">
        <v>13</v>
      </c>
      <c r="I277" s="3" t="s">
        <v>275</v>
      </c>
      <c r="J277" s="1">
        <v>34.92307692307692</v>
      </c>
      <c r="N277" s="3" t="s">
        <v>282</v>
      </c>
      <c r="O277" s="1">
        <v>6</v>
      </c>
    </row>
    <row r="278" spans="3:15" x14ac:dyDescent="0.3">
      <c r="C278" s="3" t="s">
        <v>276</v>
      </c>
      <c r="D278">
        <v>12</v>
      </c>
      <c r="I278" s="3" t="s">
        <v>276</v>
      </c>
      <c r="J278" s="1">
        <v>33.166666666666664</v>
      </c>
      <c r="N278" s="3" t="s">
        <v>283</v>
      </c>
      <c r="O278" s="1">
        <v>6.8</v>
      </c>
    </row>
    <row r="279" spans="3:15" x14ac:dyDescent="0.3">
      <c r="C279" s="3" t="s">
        <v>277</v>
      </c>
      <c r="D279">
        <v>17</v>
      </c>
      <c r="I279" s="3" t="s">
        <v>277</v>
      </c>
      <c r="J279" s="1">
        <v>32.588235294117645</v>
      </c>
      <c r="N279" s="3" t="s">
        <v>284</v>
      </c>
      <c r="O279" s="1">
        <v>3.5</v>
      </c>
    </row>
    <row r="280" spans="3:15" x14ac:dyDescent="0.3">
      <c r="C280" s="3" t="s">
        <v>278</v>
      </c>
      <c r="D280">
        <v>17</v>
      </c>
      <c r="I280" s="3" t="s">
        <v>278</v>
      </c>
      <c r="J280" s="1">
        <v>33.294117647058826</v>
      </c>
      <c r="N280" s="3" t="s">
        <v>285</v>
      </c>
      <c r="O280" s="1">
        <v>0.5</v>
      </c>
    </row>
    <row r="281" spans="3:15" x14ac:dyDescent="0.3">
      <c r="C281" s="3" t="s">
        <v>279</v>
      </c>
      <c r="D281">
        <v>17</v>
      </c>
      <c r="I281" s="3" t="s">
        <v>279</v>
      </c>
      <c r="J281" s="1">
        <v>37.411764705882355</v>
      </c>
      <c r="N281" s="3" t="s">
        <v>286</v>
      </c>
      <c r="O281" s="1">
        <v>4</v>
      </c>
    </row>
    <row r="282" spans="3:15" x14ac:dyDescent="0.3">
      <c r="C282" s="3" t="s">
        <v>280</v>
      </c>
      <c r="D282">
        <v>20</v>
      </c>
      <c r="I282" s="3" t="s">
        <v>280</v>
      </c>
      <c r="J282" s="1">
        <v>37.4</v>
      </c>
      <c r="N282" s="3" t="s">
        <v>287</v>
      </c>
      <c r="O282" s="1">
        <v>4.75</v>
      </c>
    </row>
    <row r="283" spans="3:15" x14ac:dyDescent="0.3">
      <c r="C283" s="3" t="s">
        <v>281</v>
      </c>
      <c r="D283">
        <v>11</v>
      </c>
      <c r="I283" s="3" t="s">
        <v>281</v>
      </c>
      <c r="J283" s="1">
        <v>38.545454545454547</v>
      </c>
      <c r="N283" s="3" t="s">
        <v>288</v>
      </c>
      <c r="O283" s="1">
        <v>5</v>
      </c>
    </row>
    <row r="284" spans="3:15" x14ac:dyDescent="0.3">
      <c r="C284" s="3" t="s">
        <v>282</v>
      </c>
      <c r="D284">
        <v>18</v>
      </c>
      <c r="I284" s="3" t="s">
        <v>282</v>
      </c>
      <c r="J284" s="1">
        <v>31.333333333333332</v>
      </c>
      <c r="N284" s="3" t="s">
        <v>289</v>
      </c>
      <c r="O284" s="1">
        <v>10</v>
      </c>
    </row>
    <row r="285" spans="3:15" x14ac:dyDescent="0.3">
      <c r="C285" s="3" t="s">
        <v>283</v>
      </c>
      <c r="D285">
        <v>16</v>
      </c>
      <c r="I285" s="3" t="s">
        <v>283</v>
      </c>
      <c r="J285" s="1">
        <v>36.5</v>
      </c>
      <c r="N285" s="3" t="s">
        <v>290</v>
      </c>
      <c r="O285" s="1">
        <v>5.5</v>
      </c>
    </row>
    <row r="286" spans="3:15" x14ac:dyDescent="0.3">
      <c r="C286" s="3" t="s">
        <v>284</v>
      </c>
      <c r="D286">
        <v>11</v>
      </c>
      <c r="I286" s="3" t="s">
        <v>284</v>
      </c>
      <c r="J286" s="1">
        <v>25.727272727272727</v>
      </c>
      <c r="N286" s="3" t="s">
        <v>291</v>
      </c>
      <c r="O286" s="1">
        <v>4</v>
      </c>
    </row>
    <row r="287" spans="3:15" x14ac:dyDescent="0.3">
      <c r="C287" s="3" t="s">
        <v>285</v>
      </c>
      <c r="D287">
        <v>11</v>
      </c>
      <c r="I287" s="3" t="s">
        <v>285</v>
      </c>
      <c r="J287" s="1">
        <v>29.272727272727273</v>
      </c>
      <c r="N287" s="3" t="s">
        <v>292</v>
      </c>
      <c r="O287" s="1">
        <v>2.6666666666666665</v>
      </c>
    </row>
    <row r="288" spans="3:15" x14ac:dyDescent="0.3">
      <c r="C288" s="3" t="s">
        <v>286</v>
      </c>
      <c r="D288">
        <v>14</v>
      </c>
      <c r="I288" s="3" t="s">
        <v>286</v>
      </c>
      <c r="J288" s="1">
        <v>33.5</v>
      </c>
      <c r="N288" s="3" t="s">
        <v>293</v>
      </c>
      <c r="O288" s="1">
        <v>5.1111111111111107</v>
      </c>
    </row>
    <row r="289" spans="3:15" x14ac:dyDescent="0.3">
      <c r="C289" s="3" t="s">
        <v>287</v>
      </c>
      <c r="D289">
        <v>16</v>
      </c>
      <c r="I289" s="3" t="s">
        <v>287</v>
      </c>
      <c r="J289" s="1">
        <v>27.1875</v>
      </c>
      <c r="N289" s="3" t="s">
        <v>294</v>
      </c>
      <c r="O289" s="1">
        <v>6.25</v>
      </c>
    </row>
    <row r="290" spans="3:15" x14ac:dyDescent="0.3">
      <c r="C290" s="3" t="s">
        <v>288</v>
      </c>
      <c r="D290">
        <v>18</v>
      </c>
      <c r="I290" s="3" t="s">
        <v>288</v>
      </c>
      <c r="J290" s="1">
        <v>30.333333333333332</v>
      </c>
      <c r="N290" s="3" t="s">
        <v>295</v>
      </c>
      <c r="O290" s="1">
        <v>6.333333333333333</v>
      </c>
    </row>
    <row r="291" spans="3:15" x14ac:dyDescent="0.3">
      <c r="C291" s="3" t="s">
        <v>289</v>
      </c>
      <c r="D291">
        <v>10</v>
      </c>
      <c r="I291" s="3" t="s">
        <v>289</v>
      </c>
      <c r="J291" s="1">
        <v>32.5</v>
      </c>
      <c r="N291" s="3" t="s">
        <v>296</v>
      </c>
      <c r="O291" s="1">
        <v>7.666666666666667</v>
      </c>
    </row>
    <row r="292" spans="3:15" x14ac:dyDescent="0.3">
      <c r="C292" s="3" t="s">
        <v>290</v>
      </c>
      <c r="D292">
        <v>23</v>
      </c>
      <c r="I292" s="3" t="s">
        <v>290</v>
      </c>
      <c r="J292" s="1">
        <v>33.565217391304351</v>
      </c>
      <c r="N292" s="3" t="s">
        <v>297</v>
      </c>
      <c r="O292" s="1">
        <v>5.8</v>
      </c>
    </row>
    <row r="293" spans="3:15" x14ac:dyDescent="0.3">
      <c r="C293" s="3" t="s">
        <v>291</v>
      </c>
      <c r="D293">
        <v>19</v>
      </c>
      <c r="I293" s="3" t="s">
        <v>291</v>
      </c>
      <c r="J293" s="1">
        <v>37.473684210526315</v>
      </c>
      <c r="N293" s="3" t="s">
        <v>298</v>
      </c>
      <c r="O293" s="1">
        <v>6.666666666666667</v>
      </c>
    </row>
    <row r="294" spans="3:15" x14ac:dyDescent="0.3">
      <c r="C294" s="3" t="s">
        <v>292</v>
      </c>
      <c r="D294">
        <v>14</v>
      </c>
      <c r="I294" s="3" t="s">
        <v>292</v>
      </c>
      <c r="J294" s="1">
        <v>33.857142857142854</v>
      </c>
      <c r="N294" s="3" t="s">
        <v>299</v>
      </c>
      <c r="O294" s="1">
        <v>5.4444444444444446</v>
      </c>
    </row>
    <row r="295" spans="3:15" x14ac:dyDescent="0.3">
      <c r="C295" s="3" t="s">
        <v>293</v>
      </c>
      <c r="D295">
        <v>20</v>
      </c>
      <c r="I295" s="3" t="s">
        <v>293</v>
      </c>
      <c r="J295" s="1">
        <v>32.25</v>
      </c>
      <c r="N295" s="3" t="s">
        <v>300</v>
      </c>
      <c r="O295" s="1">
        <v>4.4000000000000004</v>
      </c>
    </row>
    <row r="296" spans="3:15" x14ac:dyDescent="0.3">
      <c r="C296" s="3" t="s">
        <v>294</v>
      </c>
      <c r="D296">
        <v>15</v>
      </c>
      <c r="I296" s="3" t="s">
        <v>294</v>
      </c>
      <c r="J296" s="1">
        <v>43.666666666666664</v>
      </c>
      <c r="N296" s="3" t="s">
        <v>301</v>
      </c>
      <c r="O296" s="1">
        <v>4.8</v>
      </c>
    </row>
    <row r="297" spans="3:15" x14ac:dyDescent="0.3">
      <c r="C297" s="3" t="s">
        <v>295</v>
      </c>
      <c r="D297">
        <v>12</v>
      </c>
      <c r="I297" s="3" t="s">
        <v>295</v>
      </c>
      <c r="J297" s="1">
        <v>30.166666666666668</v>
      </c>
      <c r="N297" s="3" t="s">
        <v>302</v>
      </c>
      <c r="O297" s="1">
        <v>4</v>
      </c>
    </row>
    <row r="298" spans="3:15" x14ac:dyDescent="0.3">
      <c r="C298" s="3" t="s">
        <v>296</v>
      </c>
      <c r="D298">
        <v>17</v>
      </c>
      <c r="I298" s="3" t="s">
        <v>296</v>
      </c>
      <c r="J298" s="1">
        <v>33.823529411764703</v>
      </c>
      <c r="N298" s="3" t="s">
        <v>303</v>
      </c>
      <c r="O298" s="1">
        <v>8.25</v>
      </c>
    </row>
    <row r="299" spans="3:15" x14ac:dyDescent="0.3">
      <c r="C299" s="3" t="s">
        <v>297</v>
      </c>
      <c r="D299">
        <v>18</v>
      </c>
      <c r="I299" s="3" t="s">
        <v>297</v>
      </c>
      <c r="J299" s="1">
        <v>32.5</v>
      </c>
      <c r="N299" s="3" t="s">
        <v>304</v>
      </c>
      <c r="O299" s="1">
        <v>4.5</v>
      </c>
    </row>
    <row r="300" spans="3:15" x14ac:dyDescent="0.3">
      <c r="C300" s="3" t="s">
        <v>298</v>
      </c>
      <c r="D300">
        <v>16</v>
      </c>
      <c r="I300" s="3" t="s">
        <v>298</v>
      </c>
      <c r="J300" s="1">
        <v>39.25</v>
      </c>
      <c r="N300" s="3" t="s">
        <v>305</v>
      </c>
      <c r="O300" s="1">
        <v>3.5</v>
      </c>
    </row>
    <row r="301" spans="3:15" x14ac:dyDescent="0.3">
      <c r="C301" s="3" t="s">
        <v>299</v>
      </c>
      <c r="D301">
        <v>20</v>
      </c>
      <c r="I301" s="3" t="s">
        <v>299</v>
      </c>
      <c r="J301" s="1">
        <v>33.549999999999997</v>
      </c>
      <c r="N301" s="3" t="s">
        <v>306</v>
      </c>
      <c r="O301" s="1">
        <v>7</v>
      </c>
    </row>
    <row r="302" spans="3:15" x14ac:dyDescent="0.3">
      <c r="C302" s="3" t="s">
        <v>300</v>
      </c>
      <c r="D302">
        <v>17</v>
      </c>
      <c r="I302" s="3" t="s">
        <v>300</v>
      </c>
      <c r="J302" s="1">
        <v>31.117647058823529</v>
      </c>
      <c r="N302" s="3" t="s">
        <v>307</v>
      </c>
      <c r="O302" s="1">
        <v>4.5</v>
      </c>
    </row>
    <row r="303" spans="3:15" x14ac:dyDescent="0.3">
      <c r="C303" s="3" t="s">
        <v>301</v>
      </c>
      <c r="D303">
        <v>19</v>
      </c>
      <c r="I303" s="3" t="s">
        <v>301</v>
      </c>
      <c r="J303" s="1">
        <v>36.94736842105263</v>
      </c>
      <c r="N303" s="3" t="s">
        <v>308</v>
      </c>
      <c r="O303" s="1">
        <v>4.666666666666667</v>
      </c>
    </row>
    <row r="304" spans="3:15" x14ac:dyDescent="0.3">
      <c r="C304" s="3" t="s">
        <v>302</v>
      </c>
      <c r="D304">
        <v>17</v>
      </c>
      <c r="I304" s="3" t="s">
        <v>302</v>
      </c>
      <c r="J304" s="1">
        <v>43</v>
      </c>
      <c r="N304" s="3" t="s">
        <v>309</v>
      </c>
      <c r="O304" s="1">
        <v>5.8</v>
      </c>
    </row>
    <row r="305" spans="3:15" x14ac:dyDescent="0.3">
      <c r="C305" s="3" t="s">
        <v>303</v>
      </c>
      <c r="D305">
        <v>18</v>
      </c>
      <c r="I305" s="3" t="s">
        <v>303</v>
      </c>
      <c r="J305" s="1">
        <v>33.055555555555557</v>
      </c>
      <c r="N305" s="3" t="s">
        <v>5</v>
      </c>
      <c r="O305">
        <v>4.9620637329286801</v>
      </c>
    </row>
    <row r="306" spans="3:15" x14ac:dyDescent="0.3">
      <c r="C306" s="3" t="s">
        <v>304</v>
      </c>
      <c r="D306">
        <v>18</v>
      </c>
      <c r="I306" s="3" t="s">
        <v>304</v>
      </c>
      <c r="J306" s="1">
        <v>32.888888888888886</v>
      </c>
    </row>
    <row r="307" spans="3:15" x14ac:dyDescent="0.3">
      <c r="C307" s="3" t="s">
        <v>305</v>
      </c>
      <c r="D307">
        <v>15</v>
      </c>
      <c r="I307" s="3" t="s">
        <v>305</v>
      </c>
      <c r="J307" s="1">
        <v>26.6</v>
      </c>
    </row>
    <row r="308" spans="3:15" x14ac:dyDescent="0.3">
      <c r="C308" s="3" t="s">
        <v>306</v>
      </c>
      <c r="D308">
        <v>10</v>
      </c>
      <c r="I308" s="3" t="s">
        <v>306</v>
      </c>
      <c r="J308" s="1">
        <v>28.2</v>
      </c>
    </row>
    <row r="309" spans="3:15" x14ac:dyDescent="0.3">
      <c r="C309" s="3" t="s">
        <v>307</v>
      </c>
      <c r="D309">
        <v>14</v>
      </c>
      <c r="I309" s="3" t="s">
        <v>307</v>
      </c>
      <c r="J309" s="1">
        <v>37.642857142857146</v>
      </c>
    </row>
    <row r="310" spans="3:15" x14ac:dyDescent="0.3">
      <c r="C310" s="3" t="s">
        <v>308</v>
      </c>
      <c r="D310">
        <v>9</v>
      </c>
      <c r="I310" s="3" t="s">
        <v>308</v>
      </c>
      <c r="J310" s="1">
        <v>40.333333333333336</v>
      </c>
    </row>
    <row r="311" spans="3:15" x14ac:dyDescent="0.3">
      <c r="C311" s="3" t="s">
        <v>309</v>
      </c>
      <c r="D311">
        <v>15</v>
      </c>
      <c r="I311" s="3" t="s">
        <v>309</v>
      </c>
      <c r="J311" s="1">
        <v>35.93333333333333</v>
      </c>
    </row>
    <row r="312" spans="3:15" x14ac:dyDescent="0.3">
      <c r="C312" s="3" t="s">
        <v>5</v>
      </c>
      <c r="D312">
        <v>4878</v>
      </c>
      <c r="I312" s="3" t="s">
        <v>5</v>
      </c>
      <c r="J312">
        <v>35.465149651496517</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AD24B-572C-4227-9AB3-7DF364F9D011}">
  <dimension ref="A1:R31"/>
  <sheetViews>
    <sheetView tabSelected="1" zoomScale="103" zoomScaleNormal="169" workbookViewId="0">
      <selection sqref="A1:R31"/>
    </sheetView>
  </sheetViews>
  <sheetFormatPr defaultRowHeight="14.4" x14ac:dyDescent="0.3"/>
  <cols>
    <col min="1" max="1" width="8.88671875" customWidth="1"/>
    <col min="2" max="2" width="9" customWidth="1"/>
    <col min="3" max="4" width="8.88671875" customWidth="1"/>
    <col min="5" max="5" width="7.88671875" customWidth="1"/>
    <col min="6" max="6" width="24.21875" hidden="1" customWidth="1"/>
    <col min="7" max="7" width="3.5546875" customWidth="1"/>
    <col min="8" max="8" width="26.33203125" customWidth="1"/>
    <col min="9" max="9" width="8.88671875" customWidth="1"/>
    <col min="13" max="14" width="8.88671875" customWidth="1"/>
  </cols>
  <sheetData>
    <row r="1" spans="1:18" x14ac:dyDescent="0.3">
      <c r="A1" s="9"/>
      <c r="B1" s="9"/>
      <c r="C1" s="9"/>
      <c r="D1" s="9"/>
      <c r="E1" s="9"/>
      <c r="F1" s="9"/>
      <c r="G1" s="9"/>
      <c r="H1" s="9"/>
      <c r="I1" s="9"/>
      <c r="J1" s="9"/>
      <c r="K1" s="9"/>
      <c r="L1" s="9"/>
      <c r="M1" s="9"/>
      <c r="N1" s="9"/>
      <c r="O1" s="9"/>
      <c r="P1" s="9"/>
      <c r="Q1" s="9"/>
      <c r="R1" s="9"/>
    </row>
    <row r="2" spans="1:18" x14ac:dyDescent="0.3">
      <c r="A2" s="9"/>
      <c r="B2" s="9"/>
      <c r="C2" s="9"/>
      <c r="D2" s="9"/>
      <c r="E2" s="9"/>
      <c r="F2" s="9"/>
      <c r="G2" s="9"/>
      <c r="H2" s="9"/>
      <c r="I2" s="9"/>
      <c r="J2" s="9"/>
      <c r="K2" s="9"/>
      <c r="L2" s="9"/>
      <c r="M2" s="9"/>
      <c r="N2" s="9"/>
      <c r="O2" s="9"/>
      <c r="P2" s="9"/>
      <c r="Q2" s="9"/>
      <c r="R2" s="9"/>
    </row>
    <row r="3" spans="1:18" x14ac:dyDescent="0.3">
      <c r="A3" s="9"/>
      <c r="B3" s="9"/>
      <c r="C3" s="9"/>
      <c r="D3" s="9"/>
      <c r="E3" s="9"/>
      <c r="F3" s="9"/>
      <c r="G3" s="9"/>
      <c r="H3" s="9"/>
      <c r="I3" s="9"/>
      <c r="J3" s="9"/>
      <c r="K3" s="9"/>
      <c r="L3" s="9"/>
      <c r="M3" s="9"/>
      <c r="N3" s="9"/>
      <c r="O3" s="9"/>
      <c r="P3" s="9"/>
      <c r="Q3" s="9"/>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9"/>
      <c r="B24" s="9"/>
      <c r="C24" s="9"/>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x14ac:dyDescent="0.3">
      <c r="A27" s="9"/>
      <c r="B27" s="9"/>
      <c r="C27" s="9"/>
      <c r="D27" s="9"/>
      <c r="E27" s="9"/>
      <c r="F27" s="9"/>
      <c r="G27" s="9"/>
      <c r="H27" s="9"/>
      <c r="I27" s="9"/>
      <c r="J27" s="9"/>
      <c r="K27" s="9"/>
      <c r="L27" s="9"/>
      <c r="M27" s="9"/>
      <c r="N27" s="9"/>
      <c r="O27" s="9"/>
      <c r="P27" s="9"/>
      <c r="Q27" s="9"/>
      <c r="R27" s="9"/>
    </row>
    <row r="28" spans="1:18" x14ac:dyDescent="0.3">
      <c r="A28" s="9"/>
      <c r="B28" s="9"/>
      <c r="C28" s="9"/>
      <c r="D28" s="9"/>
      <c r="E28" s="9"/>
      <c r="F28" s="9"/>
      <c r="G28" s="9"/>
      <c r="H28" s="9"/>
      <c r="I28" s="9"/>
      <c r="J28" s="9"/>
      <c r="K28" s="9"/>
      <c r="L28" s="9"/>
      <c r="M28" s="9"/>
      <c r="N28" s="9"/>
      <c r="O28" s="9"/>
      <c r="P28" s="9"/>
      <c r="Q28" s="9"/>
      <c r="R28" s="9"/>
    </row>
    <row r="29" spans="1:18" x14ac:dyDescent="0.3">
      <c r="A29" s="9"/>
      <c r="B29" s="9"/>
      <c r="C29" s="9"/>
      <c r="D29" s="9"/>
      <c r="E29" s="9"/>
      <c r="F29" s="9"/>
      <c r="G29" s="9"/>
      <c r="H29" s="9"/>
      <c r="I29" s="9"/>
      <c r="J29" s="9"/>
      <c r="K29" s="9"/>
      <c r="L29" s="9"/>
      <c r="M29" s="9"/>
      <c r="N29" s="9"/>
      <c r="O29" s="9"/>
      <c r="P29" s="9"/>
      <c r="Q29" s="9"/>
      <c r="R29" s="9"/>
    </row>
    <row r="30" spans="1:18" x14ac:dyDescent="0.3">
      <c r="A30" s="9"/>
      <c r="B30" s="9"/>
      <c r="C30" s="9"/>
      <c r="D30" s="9"/>
      <c r="E30" s="9"/>
      <c r="F30" s="9"/>
      <c r="G30" s="9"/>
      <c r="H30" s="9"/>
      <c r="I30" s="9"/>
      <c r="J30" s="9"/>
      <c r="K30" s="9"/>
      <c r="L30" s="9"/>
      <c r="M30" s="9"/>
      <c r="N30" s="9"/>
      <c r="O30" s="9"/>
      <c r="P30" s="9"/>
      <c r="Q30" s="9"/>
      <c r="R30" s="9"/>
    </row>
    <row r="31" spans="1:18" x14ac:dyDescent="0.3">
      <c r="A31" s="9"/>
      <c r="B31" s="9"/>
      <c r="C31" s="9"/>
      <c r="D31" s="9"/>
      <c r="E31" s="9"/>
      <c r="F31" s="9"/>
      <c r="G31" s="9"/>
      <c r="H31" s="9"/>
      <c r="I31" s="9"/>
      <c r="J31" s="9"/>
      <c r="K31" s="9"/>
      <c r="L31" s="9"/>
      <c r="M31" s="9"/>
      <c r="N31" s="9"/>
      <c r="O31" s="9"/>
      <c r="P31" s="9"/>
      <c r="Q31" s="9"/>
      <c r="R31" s="9"/>
    </row>
  </sheetData>
  <mergeCells count="1">
    <mergeCell ref="A1:R31"/>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C6A87-07AB-43D8-88F3-99FEAA488ED4}">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4C524-F57E-4DBB-9725-12AEEEF3BE76}">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86D-DB6A-4603-9041-FB9F996EE57E}">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4A45D9F-8180-4AF6-8D99-15EB6E670F11}">
  <ds:schemaRefs/>
</ds:datastoreItem>
</file>

<file path=customXml/itemProps2.xml><?xml version="1.0" encoding="utf-8"?>
<ds:datastoreItem xmlns:ds="http://schemas.openxmlformats.org/officeDocument/2006/customXml" ds:itemID="{C49FFC1D-08D1-4742-87E4-839337E357F5}">
  <ds:schemaRefs/>
</ds:datastoreItem>
</file>

<file path=customXml/itemProps3.xml><?xml version="1.0" encoding="utf-8"?>
<ds:datastoreItem xmlns:ds="http://schemas.openxmlformats.org/officeDocument/2006/customXml" ds:itemID="{FAAB902A-EA4A-4A95-8202-AD90995BD586}">
  <ds:schemaRefs/>
</ds:datastoreItem>
</file>

<file path=customXml/itemProps4.xml><?xml version="1.0" encoding="utf-8"?>
<ds:datastoreItem xmlns:ds="http://schemas.openxmlformats.org/officeDocument/2006/customXml" ds:itemID="{12BE45AA-D3C9-4381-A753-9FB9186A9EFB}">
  <ds:schemaRefs/>
</ds:datastoreItem>
</file>

<file path=customXml/itemProps5.xml><?xml version="1.0" encoding="utf-8"?>
<ds:datastoreItem xmlns:ds="http://schemas.openxmlformats.org/officeDocument/2006/customXml" ds:itemID="{DD9EAD31-285A-42CB-B7D6-4EDDD17A5F28}">
  <ds:schemaRefs/>
</ds:datastoreItem>
</file>

<file path=customXml/itemProps6.xml><?xml version="1.0" encoding="utf-8"?>
<ds:datastoreItem xmlns:ds="http://schemas.openxmlformats.org/officeDocument/2006/customXml" ds:itemID="{C625968A-BF7B-429F-B010-81E6BBE1F6BB}">
  <ds:schemaRefs/>
</ds:datastoreItem>
</file>

<file path=customXml/itemProps7.xml><?xml version="1.0" encoding="utf-8"?>
<ds:datastoreItem xmlns:ds="http://schemas.openxmlformats.org/officeDocument/2006/customXml" ds:itemID="{DF578EE6-F28A-4D26-B605-7D96CBA5C763}">
  <ds:schemaRefs/>
</ds:datastoreItem>
</file>

<file path=customXml/itemProps8.xml><?xml version="1.0" encoding="utf-8"?>
<ds:datastoreItem xmlns:ds="http://schemas.openxmlformats.org/officeDocument/2006/customXml" ds:itemID="{4B2975DF-80A4-48F7-8696-CAEE49C8682F}">
  <ds:schemaRefs/>
</ds:datastoreItem>
</file>

<file path=customXml/itemProps9.xml><?xml version="1.0" encoding="utf-8"?>
<ds:datastoreItem xmlns:ds="http://schemas.openxmlformats.org/officeDocument/2006/customXml" ds:itemID="{1A12400F-DB7E-44C7-BB11-71A7BC28B8F1}">
  <ds:schemaRefs/>
</ds:datastoreItem>
</file>

<file path=customXml/itemProps10.xml><?xml version="1.0" encoding="utf-8"?>
<ds:datastoreItem xmlns:ds="http://schemas.openxmlformats.org/officeDocument/2006/customXml" ds:itemID="{6E200A68-E0BC-4554-BB1C-EE7D911A10F3}">
  <ds:schemaRefs/>
</ds:datastoreItem>
</file>

<file path=customXml/itemProps11.xml><?xml version="1.0" encoding="utf-8"?>
<ds:datastoreItem xmlns:ds="http://schemas.openxmlformats.org/officeDocument/2006/customXml" ds:itemID="{AF34349C-4B54-4838-9A82-FE6B9EB715F3}">
  <ds:schemaRefs/>
</ds:datastoreItem>
</file>

<file path=customXml/itemProps12.xml><?xml version="1.0" encoding="utf-8"?>
<ds:datastoreItem xmlns:ds="http://schemas.openxmlformats.org/officeDocument/2006/customXml" ds:itemID="{E24E0B50-6F9F-4F91-B55C-C0981755832F}">
  <ds:schemaRefs/>
</ds:datastoreItem>
</file>

<file path=customXml/itemProps13.xml><?xml version="1.0" encoding="utf-8"?>
<ds:datastoreItem xmlns:ds="http://schemas.openxmlformats.org/officeDocument/2006/customXml" ds:itemID="{A13BD41F-87C4-4538-9F65-87DFCA402E6A}">
  <ds:schemaRefs/>
</ds:datastoreItem>
</file>

<file path=customXml/itemProps14.xml><?xml version="1.0" encoding="utf-8"?>
<ds:datastoreItem xmlns:ds="http://schemas.openxmlformats.org/officeDocument/2006/customXml" ds:itemID="{3CEC82B1-14C1-498E-B1A5-8578B28D3939}">
  <ds:schemaRefs/>
</ds:datastoreItem>
</file>

<file path=customXml/itemProps15.xml><?xml version="1.0" encoding="utf-8"?>
<ds:datastoreItem xmlns:ds="http://schemas.openxmlformats.org/officeDocument/2006/customXml" ds:itemID="{A1F76BC1-B5A2-4E47-9CE4-22407C82DCEB}">
  <ds:schemaRefs/>
</ds:datastoreItem>
</file>

<file path=customXml/itemProps16.xml><?xml version="1.0" encoding="utf-8"?>
<ds:datastoreItem xmlns:ds="http://schemas.openxmlformats.org/officeDocument/2006/customXml" ds:itemID="{741121D5-9349-4C72-A185-1F15A25D0BF6}">
  <ds:schemaRefs/>
</ds:datastoreItem>
</file>

<file path=customXml/itemProps17.xml><?xml version="1.0" encoding="utf-8"?>
<ds:datastoreItem xmlns:ds="http://schemas.openxmlformats.org/officeDocument/2006/customXml" ds:itemID="{04F51A53-8AD0-41B7-87A2-6A630D5248B4}">
  <ds:schemaRefs>
    <ds:schemaRef ds:uri="http://schemas.microsoft.com/DataMashup"/>
  </ds:schemaRefs>
</ds:datastoreItem>
</file>

<file path=customXml/itemProps18.xml><?xml version="1.0" encoding="utf-8"?>
<ds:datastoreItem xmlns:ds="http://schemas.openxmlformats.org/officeDocument/2006/customXml" ds:itemID="{B403BD07-A92E-4EEA-865A-A30E78EAA6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Patient Average Satisfaction sc</vt:lpstr>
      <vt:lpstr>Patient Average Waittime</vt:lpstr>
      <vt:lpstr>DailyERNoofPatient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SINGH</dc:creator>
  <cp:lastModifiedBy>AJAY SINGH</cp:lastModifiedBy>
  <dcterms:created xsi:type="dcterms:W3CDTF">2026-06-13T19:12:14Z</dcterms:created>
  <dcterms:modified xsi:type="dcterms:W3CDTF">2026-06-16T09:10:25Z</dcterms:modified>
</cp:coreProperties>
</file>